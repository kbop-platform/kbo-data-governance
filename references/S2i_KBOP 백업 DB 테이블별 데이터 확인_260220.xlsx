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ioffice-my.sharepoint.com/personal/sk_sports2i_com/Documents/2026/"/>
    </mc:Choice>
  </mc:AlternateContent>
  <xr:revisionPtr revIDLastSave="1864" documentId="13_ncr:1_{13FF060F-37AD-47D5-A549-B5D3934005E2}" xr6:coauthVersionLast="47" xr6:coauthVersionMax="47" xr10:uidLastSave="{82A6BA09-C01F-45DD-953F-989941690A45}"/>
  <bookViews>
    <workbookView xWindow="30612" yWindow="-108" windowWidth="30936" windowHeight="16776" activeTab="2" xr2:uid="{CC3205D3-C92A-4FBA-87F9-59FABFCE0D35}"/>
  </bookViews>
  <sheets>
    <sheet name="DB1_" sheetId="1" r:id="rId1"/>
    <sheet name="DB2_" sheetId="2" r:id="rId2"/>
    <sheet name="전송 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1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6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5" i="3"/>
  <c r="K87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6" i="3"/>
  <c r="K127" i="3"/>
  <c r="K128" i="3"/>
  <c r="K129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6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5" i="3"/>
  <c r="J87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6" i="3"/>
  <c r="J127" i="3"/>
  <c r="J128" i="3"/>
  <c r="J129" i="3"/>
  <c r="K8" i="2"/>
  <c r="K9" i="2"/>
  <c r="K10" i="2"/>
  <c r="K11" i="2"/>
  <c r="K12" i="2"/>
  <c r="K13" i="2"/>
  <c r="K14" i="2"/>
  <c r="K15" i="2"/>
  <c r="K17" i="2"/>
  <c r="K18" i="2"/>
  <c r="K19" i="2"/>
  <c r="K20" i="2"/>
  <c r="K22" i="2"/>
  <c r="K23" i="2"/>
  <c r="K24" i="2"/>
  <c r="K25" i="2"/>
  <c r="K27" i="2"/>
  <c r="K28" i="2"/>
  <c r="K29" i="2"/>
  <c r="K30" i="2"/>
  <c r="K31" i="2"/>
  <c r="K33" i="2"/>
  <c r="K34" i="2"/>
  <c r="K35" i="2"/>
  <c r="K36" i="2"/>
  <c r="K41" i="2"/>
  <c r="K42" i="2"/>
  <c r="K43" i="2"/>
  <c r="K44" i="2"/>
  <c r="K45" i="2"/>
  <c r="K46" i="2"/>
  <c r="K47" i="2"/>
  <c r="K48" i="2"/>
  <c r="K49" i="2"/>
  <c r="K52" i="2"/>
  <c r="K53" i="2"/>
  <c r="K54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6" i="2"/>
  <c r="K77" i="2"/>
  <c r="K78" i="2"/>
  <c r="K80" i="2"/>
  <c r="K81" i="2"/>
  <c r="K82" i="2"/>
  <c r="K83" i="2"/>
  <c r="K84" i="2"/>
  <c r="K85" i="2"/>
  <c r="K86" i="2"/>
  <c r="K87" i="2"/>
  <c r="K88" i="2"/>
  <c r="J8" i="2"/>
  <c r="J9" i="2"/>
  <c r="J10" i="2"/>
  <c r="J11" i="2"/>
  <c r="J12" i="2"/>
  <c r="J13" i="2"/>
  <c r="J14" i="2"/>
  <c r="J15" i="2"/>
  <c r="J17" i="2"/>
  <c r="J18" i="2"/>
  <c r="J19" i="2"/>
  <c r="J20" i="2"/>
  <c r="J22" i="2"/>
  <c r="J23" i="2"/>
  <c r="J24" i="2"/>
  <c r="J25" i="2"/>
  <c r="J27" i="2"/>
  <c r="J28" i="2"/>
  <c r="J29" i="2"/>
  <c r="J30" i="2"/>
  <c r="J31" i="2"/>
  <c r="J33" i="2"/>
  <c r="J34" i="2"/>
  <c r="J35" i="2"/>
  <c r="J36" i="2"/>
  <c r="J41" i="2"/>
  <c r="J42" i="2"/>
  <c r="J43" i="2"/>
  <c r="J44" i="2"/>
  <c r="J45" i="2"/>
  <c r="J46" i="2"/>
  <c r="J47" i="2"/>
  <c r="J48" i="2"/>
  <c r="J49" i="2"/>
  <c r="J52" i="2"/>
  <c r="J53" i="2"/>
  <c r="J54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6" i="2"/>
  <c r="J77" i="2"/>
  <c r="J78" i="2"/>
  <c r="J80" i="2"/>
  <c r="J81" i="2"/>
  <c r="J82" i="2"/>
  <c r="J83" i="2"/>
  <c r="J84" i="2"/>
  <c r="J85" i="2"/>
  <c r="J86" i="2"/>
  <c r="J87" i="2"/>
  <c r="J88" i="2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</calcChain>
</file>

<file path=xl/sharedStrings.xml><?xml version="1.0" encoding="utf-8"?>
<sst xmlns="http://schemas.openxmlformats.org/spreadsheetml/2006/main" count="819" uniqueCount="199">
  <si>
    <t>SEASON_PLAYER_HITTER</t>
  </si>
  <si>
    <t>SEASON_PLAYER_HITTER_SITUATION</t>
  </si>
  <si>
    <t>SEASON_PLAYER_PITCHER</t>
  </si>
  <si>
    <t>SEASON_PLAYER_PITCHER_SITUATION</t>
  </si>
  <si>
    <t>DB</t>
    <phoneticPr fontId="1" type="noConversion"/>
  </si>
  <si>
    <t>TABLE</t>
    <phoneticPr fontId="1" type="noConversion"/>
  </si>
  <si>
    <t>COLUMN</t>
    <phoneticPr fontId="1" type="noConversion"/>
  </si>
  <si>
    <t>ROW</t>
    <phoneticPr fontId="1" type="noConversion"/>
  </si>
  <si>
    <t>DB1_BASEBALL_2_220328</t>
  </si>
  <si>
    <t>DB1_BASEBALL_220328</t>
    <phoneticPr fontId="1" type="noConversion"/>
  </si>
  <si>
    <t>No</t>
    <phoneticPr fontId="1" type="noConversion"/>
  </si>
  <si>
    <t>BatTotal</t>
  </si>
  <si>
    <t>ENTRY</t>
  </si>
  <si>
    <t>GAME_MEMO</t>
  </si>
  <si>
    <t>GAMECONTAPP</t>
  </si>
  <si>
    <t>GAMEINFO</t>
  </si>
  <si>
    <t>Hitter</t>
  </si>
  <si>
    <t>Pitcher</t>
  </si>
  <si>
    <t>PitTotal</t>
  </si>
  <si>
    <t>Score</t>
  </si>
  <si>
    <t>TeamRank</t>
  </si>
  <si>
    <t>IE_BallCount</t>
  </si>
  <si>
    <t>IE_BatterRecord</t>
  </si>
  <si>
    <t>IE_GameList</t>
  </si>
  <si>
    <t>IE_GAMESTATE</t>
  </si>
  <si>
    <t>IE_LiveText</t>
  </si>
  <si>
    <t>IE_PitcherRecord</t>
  </si>
  <si>
    <t>IE_Scoreinning</t>
  </si>
  <si>
    <t>IE_ScoreRHEB</t>
  </si>
  <si>
    <t>KBO_BATRESULT</t>
  </si>
  <si>
    <t>KBO_ETCGAME</t>
  </si>
  <si>
    <t>KBO_PITRESULT</t>
  </si>
  <si>
    <t>PITCHCLOCK</t>
  </si>
  <si>
    <t>person</t>
  </si>
  <si>
    <t>DEFEN</t>
    <phoneticPr fontId="1" type="noConversion"/>
  </si>
  <si>
    <t>ENTRY</t>
    <phoneticPr fontId="1" type="noConversion"/>
  </si>
  <si>
    <t>GAMECONTAPP</t>
    <phoneticPr fontId="1" type="noConversion"/>
  </si>
  <si>
    <t>확인</t>
    <phoneticPr fontId="1" type="noConversion"/>
  </si>
  <si>
    <t>GAMEINFO</t>
    <phoneticPr fontId="1" type="noConversion"/>
  </si>
  <si>
    <t>Hitter</t>
    <phoneticPr fontId="1" type="noConversion"/>
  </si>
  <si>
    <t>Pitcher</t>
    <phoneticPr fontId="1" type="noConversion"/>
  </si>
  <si>
    <t>PitTotal</t>
    <phoneticPr fontId="1" type="noConversion"/>
  </si>
  <si>
    <t>Score</t>
    <phoneticPr fontId="1" type="noConversion"/>
  </si>
  <si>
    <t>TeamRank</t>
    <phoneticPr fontId="1" type="noConversion"/>
  </si>
  <si>
    <t>BATTOTAL</t>
    <phoneticPr fontId="1" type="noConversion"/>
  </si>
  <si>
    <t>BatTotal</t>
    <phoneticPr fontId="1" type="noConversion"/>
  </si>
  <si>
    <t>HITTER</t>
    <phoneticPr fontId="1" type="noConversion"/>
  </si>
  <si>
    <t>PITCHER</t>
    <phoneticPr fontId="1" type="noConversion"/>
  </si>
  <si>
    <t>PITTOTAL</t>
    <phoneticPr fontId="1" type="noConversion"/>
  </si>
  <si>
    <t>SCORE</t>
    <phoneticPr fontId="1" type="noConversion"/>
  </si>
  <si>
    <t>TEAMRANK</t>
    <phoneticPr fontId="1" type="noConversion"/>
  </si>
  <si>
    <t>DB1_MINOR_SO_BASEBALL</t>
    <phoneticPr fontId="1" type="noConversion"/>
  </si>
  <si>
    <t>DB1 - MINOR_SO_BASEBALL</t>
    <phoneticPr fontId="1" type="noConversion"/>
  </si>
  <si>
    <t>DB1 - MINOR_BASEBALL</t>
    <phoneticPr fontId="1" type="noConversion"/>
  </si>
  <si>
    <t>DB1 - BASEBALL</t>
  </si>
  <si>
    <t>DB1 - BASEBALL</t>
    <phoneticPr fontId="1" type="noConversion"/>
  </si>
  <si>
    <t>Entry</t>
  </si>
  <si>
    <t>GameContApp</t>
  </si>
  <si>
    <t>gameinfo</t>
  </si>
  <si>
    <t>GAME_HR</t>
    <phoneticPr fontId="1" type="noConversion"/>
  </si>
  <si>
    <t>DB2 - GOLDDOG</t>
    <phoneticPr fontId="1" type="noConversion"/>
  </si>
  <si>
    <t>RECORD_HR</t>
    <phoneticPr fontId="1" type="noConversion"/>
  </si>
  <si>
    <t>GAME_MEMO</t>
    <phoneticPr fontId="1" type="noConversion"/>
  </si>
  <si>
    <t>GAME_MEMO_PITCHCLOCK</t>
    <phoneticPr fontId="1" type="noConversion"/>
  </si>
  <si>
    <t>Defen_TOT</t>
  </si>
  <si>
    <t>DB2 - BASEBALL</t>
  </si>
  <si>
    <t>DB2 - BASEBALL</t>
    <phoneticPr fontId="1" type="noConversion"/>
  </si>
  <si>
    <t>SEASON_PLAYER_HITTER</t>
    <phoneticPr fontId="1" type="noConversion"/>
  </si>
  <si>
    <t>SEASON_PLAYER_HITTER_SITUATION</t>
    <phoneticPr fontId="1" type="noConversion"/>
  </si>
  <si>
    <t>SEASON_PLAYER_PITCHER</t>
    <phoneticPr fontId="1" type="noConversion"/>
  </si>
  <si>
    <t>SEASON_PLAYER_PITCHER_SITUATION</t>
    <phoneticPr fontId="1" type="noConversion"/>
  </si>
  <si>
    <t>ETC</t>
    <phoneticPr fontId="1" type="noConversion"/>
  </si>
  <si>
    <t>TEAM</t>
    <phoneticPr fontId="1" type="noConversion"/>
  </si>
  <si>
    <t>Gameinfo</t>
  </si>
  <si>
    <t>GAMEINFO_WEATHER</t>
    <phoneticPr fontId="1" type="noConversion"/>
  </si>
  <si>
    <t>전송 안함</t>
  </si>
  <si>
    <t>전송 안함</t>
    <phoneticPr fontId="1" type="noConversion"/>
  </si>
  <si>
    <t>KBO_BATRESULT</t>
    <phoneticPr fontId="1" type="noConversion"/>
  </si>
  <si>
    <t>KBO_BATRESULT_TOT</t>
  </si>
  <si>
    <t>KBO_ETCGAME</t>
    <phoneticPr fontId="1" type="noConversion"/>
  </si>
  <si>
    <t>KBO_ETCGAME_TOT</t>
  </si>
  <si>
    <t>KBO_PITRESULT</t>
    <phoneticPr fontId="1" type="noConversion"/>
  </si>
  <si>
    <t>KBO_PITRESULT_TOT</t>
  </si>
  <si>
    <t>PITCHCLOCK</t>
    <phoneticPr fontId="1" type="noConversion"/>
  </si>
  <si>
    <t>CANCEL_GAME</t>
    <phoneticPr fontId="1" type="noConversion"/>
  </si>
  <si>
    <t>KBO 홈페이지 기준 확인</t>
    <phoneticPr fontId="1" type="noConversion"/>
  </si>
  <si>
    <t>IE_BallCount</t>
    <phoneticPr fontId="1" type="noConversion"/>
  </si>
  <si>
    <t>DB2_BASEBALL_NEW_220328</t>
    <phoneticPr fontId="1" type="noConversion"/>
  </si>
  <si>
    <t>DB2 - BASEBALL_NEW</t>
    <phoneticPr fontId="1" type="noConversion"/>
  </si>
  <si>
    <t>IE_BatterRecord</t>
    <phoneticPr fontId="1" type="noConversion"/>
  </si>
  <si>
    <t>IE_GameList</t>
    <phoneticPr fontId="1" type="noConversion"/>
  </si>
  <si>
    <t>IE_GAMESTATE</t>
    <phoneticPr fontId="1" type="noConversion"/>
  </si>
  <si>
    <t>IE_LiveText</t>
    <phoneticPr fontId="1" type="noConversion"/>
  </si>
  <si>
    <t>IE_log</t>
    <phoneticPr fontId="1" type="noConversion"/>
  </si>
  <si>
    <t>IE_PitcherRecord</t>
    <phoneticPr fontId="1" type="noConversion"/>
  </si>
  <si>
    <t>IE_Scoreinning</t>
    <phoneticPr fontId="1" type="noConversion"/>
  </si>
  <si>
    <t>IE_ScoreRHEB</t>
    <phoneticPr fontId="1" type="noConversion"/>
  </si>
  <si>
    <t>KBO_schedule</t>
    <phoneticPr fontId="1" type="noConversion"/>
  </si>
  <si>
    <t>DB1 - BBIS</t>
    <phoneticPr fontId="1" type="noConversion"/>
  </si>
  <si>
    <t>person</t>
    <phoneticPr fontId="1" type="noConversion"/>
  </si>
  <si>
    <t>PERSON_FA</t>
    <phoneticPr fontId="1" type="noConversion"/>
  </si>
  <si>
    <t>person2</t>
    <phoneticPr fontId="1" type="noConversion"/>
  </si>
  <si>
    <t>STADIUM</t>
    <phoneticPr fontId="1" type="noConversion"/>
  </si>
  <si>
    <t>Battotal</t>
  </si>
  <si>
    <t>DB2_MINOR_BASEBALL_220328</t>
    <phoneticPr fontId="1" type="noConversion"/>
  </si>
  <si>
    <t>KBO_SCHEDULE</t>
    <phoneticPr fontId="1" type="noConversion"/>
  </si>
  <si>
    <t>KBO_SCHEDULE_VIEW</t>
  </si>
  <si>
    <t>KBO_SCHEDULE_VIEW</t>
    <phoneticPr fontId="1" type="noConversion"/>
  </si>
  <si>
    <t>PERSON</t>
    <phoneticPr fontId="1" type="noConversion"/>
  </si>
  <si>
    <t>별도 확인</t>
    <phoneticPr fontId="1" type="noConversion"/>
  </si>
  <si>
    <t>IE_BALLCOUNT</t>
    <phoneticPr fontId="1" type="noConversion"/>
  </si>
  <si>
    <t>IE_BATTERRECORD</t>
    <phoneticPr fontId="1" type="noConversion"/>
  </si>
  <si>
    <t>IE_GAMELIST</t>
    <phoneticPr fontId="1" type="noConversion"/>
  </si>
  <si>
    <t>IE_LIVETEXT</t>
    <phoneticPr fontId="1" type="noConversion"/>
  </si>
  <si>
    <t>DB2_MINOR_BASEBALL_NEW_220328</t>
    <phoneticPr fontId="1" type="noConversion"/>
  </si>
  <si>
    <t>DB2 - MINOR_BASEBALL_NEW</t>
  </si>
  <si>
    <t>DB2 - MINOR_BASEBALL_NEW</t>
    <phoneticPr fontId="1" type="noConversion"/>
  </si>
  <si>
    <t>DB2 - MINOR_BASEBALL</t>
    <phoneticPr fontId="1" type="noConversion"/>
  </si>
  <si>
    <t>IE_PITCHERRECORD</t>
    <phoneticPr fontId="1" type="noConversion"/>
  </si>
  <si>
    <t>IE_SCOREINNING</t>
    <phoneticPr fontId="1" type="noConversion"/>
  </si>
  <si>
    <t>IE_SCORERHEB</t>
    <phoneticPr fontId="1" type="noConversion"/>
  </si>
  <si>
    <t>DB2_MINOR_SO_BASEBALL</t>
    <phoneticPr fontId="1" type="noConversion"/>
  </si>
  <si>
    <t>DB2 - MINOR_SO_BASEBALL</t>
    <phoneticPr fontId="1" type="noConversion"/>
  </si>
  <si>
    <t>DB2_MINOR_SO_BASEBALL_NEW</t>
    <phoneticPr fontId="1" type="noConversion"/>
  </si>
  <si>
    <t>DB2 - MINOR_SO_BASEBALL_NEW</t>
  </si>
  <si>
    <t>DB2 - MINOR_SO_BASEBALL_NEW</t>
    <phoneticPr fontId="1" type="noConversion"/>
  </si>
  <si>
    <t>DB2_ALLSTAR</t>
    <phoneticPr fontId="1" type="noConversion"/>
  </si>
  <si>
    <t>DB2_EXHIBITION</t>
    <phoneticPr fontId="1" type="noConversion"/>
  </si>
  <si>
    <t>DB2_INTERNATIONAL</t>
    <phoneticPr fontId="1" type="noConversion"/>
  </si>
  <si>
    <t>DB2_MINOR_POSTSEASON</t>
    <phoneticPr fontId="1" type="noConversion"/>
  </si>
  <si>
    <t>DB2_OTHER_GAME</t>
    <phoneticPr fontId="1" type="noConversion"/>
  </si>
  <si>
    <t>DB2_POSTSEASON</t>
    <phoneticPr fontId="1" type="noConversion"/>
  </si>
  <si>
    <t>DB2 - BASEBALL_PS_ALL / MINOR_BASEBALL_PS_ALL</t>
    <phoneticPr fontId="1" type="noConversion"/>
  </si>
  <si>
    <t>DB2 - BASEBALL_NEW / MINOR_BASEBALL_NEW</t>
  </si>
  <si>
    <t>DB2 - BASEBALL_NEW / MINOR_BASEBALL_NEW</t>
    <phoneticPr fontId="1" type="noConversion"/>
  </si>
  <si>
    <t>DB2 - EXHIBITION</t>
  </si>
  <si>
    <t>DB2 - EXHIBITION</t>
    <phoneticPr fontId="1" type="noConversion"/>
  </si>
  <si>
    <t>DB2 - MINOR_BASEBALL_PS_ALL</t>
  </si>
  <si>
    <t>DB2 - MINOR_BASEBALL_PS_ALL</t>
    <phoneticPr fontId="1" type="noConversion"/>
  </si>
  <si>
    <t>BatTotal_6666</t>
  </si>
  <si>
    <t>DB2 - EXHIBITION / BASEBALL_PS_ALL</t>
  </si>
  <si>
    <t>DB2 - EXHIBITION / BASEBALL_PS_ALL</t>
    <phoneticPr fontId="1" type="noConversion"/>
  </si>
  <si>
    <t>Entry_6666</t>
  </si>
  <si>
    <t>Gameinfo_6666</t>
  </si>
  <si>
    <t>Hitter_6666</t>
  </si>
  <si>
    <t>KBO_BATRESULT_6666</t>
  </si>
  <si>
    <t>KBO_ETCGAME_6666</t>
  </si>
  <si>
    <t>KBO_PITRESULT_6666</t>
  </si>
  <si>
    <t>Pitcher_6666</t>
  </si>
  <si>
    <t>PitTotal_6666</t>
  </si>
  <si>
    <t>TeamRank_6666</t>
  </si>
  <si>
    <t>GameContApp_6666</t>
    <phoneticPr fontId="1" type="noConversion"/>
  </si>
  <si>
    <t>DB2 - BASEBASEBALL_PS_ALL</t>
  </si>
  <si>
    <t>DB2 - BASEBASEBALL_PS_ALL</t>
    <phoneticPr fontId="1" type="noConversion"/>
  </si>
  <si>
    <t>사유</t>
    <phoneticPr fontId="1" type="noConversion"/>
  </si>
  <si>
    <t>DB2_BASEBALL_2_220328</t>
    <phoneticPr fontId="1" type="noConversion"/>
  </si>
  <si>
    <t>DB2_BASEBALL_220328</t>
    <phoneticPr fontId="1" type="noConversion"/>
  </si>
  <si>
    <t>Defen</t>
    <phoneticPr fontId="1" type="noConversion"/>
  </si>
  <si>
    <t>KBO_BATRESULT_TOT</t>
    <phoneticPr fontId="1" type="noConversion"/>
  </si>
  <si>
    <t>KBO_ETCGAME_TOT</t>
    <phoneticPr fontId="1" type="noConversion"/>
  </si>
  <si>
    <t>KBO_PITRESULT_TOT</t>
    <phoneticPr fontId="1" type="noConversion"/>
  </si>
  <si>
    <t>KBO 홈페이지 기준 확인</t>
  </si>
  <si>
    <t>전체 시즌 데이터 개수 차이, 내부 테이블에 포스트시즌 데이터 존재</t>
    <phoneticPr fontId="1" type="noConversion"/>
  </si>
  <si>
    <t>kbo_schedule</t>
    <phoneticPr fontId="1" type="noConversion"/>
  </si>
  <si>
    <t>2003, 2004, 2005 시즌 데이터 개수 차이, 내부 테이블에 포스트시즌 데이터 존재</t>
    <phoneticPr fontId="1" type="noConversion"/>
  </si>
  <si>
    <t>2003, 2004, 2005 시즌 데이터 개수 차이</t>
    <phoneticPr fontId="1" type="noConversion"/>
  </si>
  <si>
    <t>2007, 2008, 2011, 2012, 2013, 2015, 2017, 2018, 2019, 2021, 2023, 2024 시즌 데이터 개수 차이</t>
    <phoneticPr fontId="1" type="noConversion"/>
  </si>
  <si>
    <t>전체 시즌 개수 차이</t>
    <phoneticPr fontId="1" type="noConversion"/>
  </si>
  <si>
    <t xml:space="preserve"> 내부 챔피언결정전 데이터 이동으로 인한 개수 차이</t>
    <phoneticPr fontId="1" type="noConversion"/>
  </si>
  <si>
    <t>2012, 2016, 2019, 2021, 2023 시즌 데이터 개수 차이</t>
    <phoneticPr fontId="1" type="noConversion"/>
  </si>
  <si>
    <t>2012, 2016, 2019, 2021, 2022, 2023 시즌 데이터 개수 차이</t>
    <phoneticPr fontId="1" type="noConversion"/>
  </si>
  <si>
    <t>2019, 2021, 2022, 2023, 2024, 2025 시즌 데이터 개수 차이</t>
    <phoneticPr fontId="1" type="noConversion"/>
  </si>
  <si>
    <t>2016, 2019, 2021, 2023 시즌 데이터 개수 차이</t>
    <phoneticPr fontId="1" type="noConversion"/>
  </si>
  <si>
    <t>2012, 2016, 2019, 2020, 2021, 2022, 2023 시즌 데이터 개수 차이</t>
    <phoneticPr fontId="1" type="noConversion"/>
  </si>
  <si>
    <t>2012, 2016, 2019, 2020, 2021, 2023 시즌 데이터 개수 차이</t>
    <phoneticPr fontId="1" type="noConversion"/>
  </si>
  <si>
    <t>전송 시 [NAME] = '합계'를 제외해서 차이 발생</t>
    <phoneticPr fontId="1" type="noConversion"/>
  </si>
  <si>
    <t xml:space="preserve"> 2025시즌 '33331014SKSS0' 경기 데이터 전송 누락</t>
    <phoneticPr fontId="1" type="noConversion"/>
  </si>
  <si>
    <t>2020, 2021, 2025 시즌 데이터 개수 차이</t>
    <phoneticPr fontId="1" type="noConversion"/>
  </si>
  <si>
    <t>2020, 2021, 2023, 2024, 2025 시즌 데이터 개수 차이</t>
    <phoneticPr fontId="1" type="noConversion"/>
  </si>
  <si>
    <t>2025 시즌 데이터 개수 차이</t>
    <phoneticPr fontId="1" type="noConversion"/>
  </si>
  <si>
    <t>DB1_MINOR_BASEBALL_220328</t>
    <phoneticPr fontId="1" type="noConversion"/>
  </si>
  <si>
    <t>데이터 없음</t>
    <phoneticPr fontId="1" type="noConversion"/>
  </si>
  <si>
    <t>별도 확인</t>
  </si>
  <si>
    <t>Score_6666</t>
    <phoneticPr fontId="1" type="noConversion"/>
  </si>
  <si>
    <t>2i</t>
    <phoneticPr fontId="1" type="noConversion"/>
  </si>
  <si>
    <t>전체적인 데이터 차이</t>
    <phoneticPr fontId="1" type="noConversion"/>
  </si>
  <si>
    <t>2004년도 이후 비교, 전체적인 데이터 차이</t>
  </si>
  <si>
    <t>2004년도 이후 비교, 전체적인 데이터 차이</t>
    <phoneticPr fontId="1" type="noConversion"/>
  </si>
  <si>
    <t>2010년도 이후 비교, 전체적인 데이터 차이</t>
    <phoneticPr fontId="1" type="noConversion"/>
  </si>
  <si>
    <t>백업</t>
    <phoneticPr fontId="1" type="noConversion"/>
  </si>
  <si>
    <t>내부 GYEAR = 'all' 제외 및 백업 GYEAR = 2026 제외 시 데이터 개수 동일</t>
  </si>
  <si>
    <t>백업 GYEAR = 2026 제외 시 데이터 개수 동일</t>
  </si>
  <si>
    <t>백업 챔피언결정전 데이터 누락</t>
  </si>
  <si>
    <t xml:space="preserve"> 백업 2015, 2024 시즌 누락, 2016, 2017 시즌 데이터 개수 차이</t>
  </si>
  <si>
    <t>전체적인 데이터 개수 차이 및 백업 2023 이전 데이터 누락</t>
  </si>
  <si>
    <t>백업 2025 퓨처스 데이터 없음</t>
  </si>
  <si>
    <t>백업 2023년도 데이터 차이</t>
  </si>
  <si>
    <t>백업 퓨처스 챔피언결정전 데이터 없음</t>
  </si>
  <si>
    <t>백업 2020 연습경기 데이터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</si>
</sst>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176" fontId="2" fillId="0" borderId="5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3" borderId="1" xfId="0" applyNumberFormat="1" applyFont="1" applyFill="1" applyBorder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176" fontId="2" fillId="3" borderId="4" xfId="0" applyNumberFormat="1" applyFont="1" applyFill="1" applyBorder="1">
      <alignment vertical="center"/>
    </xf>
    <xf numFmtId="49" fontId="2" fillId="0" borderId="3" xfId="0" applyNumberFormat="1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0" fontId="3" fillId="3" borderId="1" xfId="0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176" fontId="3" fillId="0" borderId="5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3" borderId="2" xfId="0" applyFont="1" applyFill="1" applyBorder="1">
      <alignment vertical="center"/>
    </xf>
    <xf numFmtId="176" fontId="3" fillId="0" borderId="4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0" fontId="2" fillId="3" borderId="3" xfId="0" applyFont="1" applyFill="1" applyBorder="1">
      <alignment vertical="center"/>
    </xf>
    <xf numFmtId="0" fontId="2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3" fillId="3" borderId="3" xfId="0" applyFont="1" applyFill="1" applyBorder="1">
      <alignment vertical="center"/>
    </xf>
    <xf numFmtId="176" fontId="3" fillId="3" borderId="4" xfId="0" applyNumberFormat="1" applyFont="1" applyFill="1" applyBorder="1">
      <alignment vertical="center"/>
    </xf>
    <xf numFmtId="0" fontId="3" fillId="0" borderId="10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176" fontId="2" fillId="4" borderId="4" xfId="0" applyNumberFormat="1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0" fontId="3" fillId="4" borderId="16" xfId="0" quotePrefix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3" fillId="4" borderId="1" xfId="0" applyNumberFormat="1" applyFont="1" applyFill="1" applyBorder="1">
      <alignment vertical="center"/>
    </xf>
    <xf numFmtId="176" fontId="3" fillId="4" borderId="4" xfId="0" applyNumberFormat="1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3" fillId="4" borderId="5" xfId="0" applyFont="1" applyFill="1" applyBorder="1">
      <alignment vertical="center"/>
    </xf>
    <xf numFmtId="176" fontId="3" fillId="4" borderId="5" xfId="0" applyNumberFormat="1" applyFont="1" applyFill="1" applyBorder="1">
      <alignment vertical="center"/>
    </xf>
    <xf numFmtId="176" fontId="3" fillId="4" borderId="6" xfId="0" applyNumberFormat="1" applyFont="1" applyFill="1" applyBorder="1">
      <alignment vertical="center"/>
    </xf>
    <xf numFmtId="0" fontId="3" fillId="4" borderId="10" xfId="0" applyFont="1" applyFill="1" applyBorder="1">
      <alignment vertical="center"/>
    </xf>
    <xf numFmtId="0" fontId="3" fillId="4" borderId="11" xfId="0" applyFont="1" applyFill="1" applyBorder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49" fontId="2" fillId="4" borderId="3" xfId="0" applyNumberFormat="1" applyFont="1" applyFill="1" applyBorder="1">
      <alignment vertical="center"/>
    </xf>
    <xf numFmtId="0" fontId="5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표준" xfId="0" builtinId="0"/>
  </cellStyles>
  <dxfs count="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0F1B-79E0-4A1B-9FF0-98031D7C3151}">
  <dimension ref="A1:M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E1"/>
    </sheetView>
  </sheetViews>
  <sheetFormatPr defaultColWidth="9" defaultRowHeight="15.6" x14ac:dyDescent="0.4"/>
  <cols>
    <col min="1" max="1" width="27.69921875" style="1" bestFit="1" customWidth="1"/>
    <col min="2" max="2" width="4" style="1" bestFit="1" customWidth="1"/>
    <col min="3" max="3" width="32.8984375" style="1" bestFit="1" customWidth="1"/>
    <col min="4" max="4" width="9.09765625" style="8" bestFit="1" customWidth="1"/>
    <col min="5" max="5" width="9.8984375" style="8" bestFit="1" customWidth="1"/>
    <col min="6" max="6" width="25" style="23" bestFit="1" customWidth="1"/>
    <col min="7" max="7" width="24.09765625" style="23" bestFit="1" customWidth="1"/>
    <col min="8" max="8" width="9.09765625" style="8" bestFit="1" customWidth="1"/>
    <col min="9" max="9" width="9.8984375" style="8" bestFit="1" customWidth="1"/>
    <col min="10" max="11" width="10.59765625" style="1" customWidth="1"/>
    <col min="12" max="12" width="21.09765625" style="14" bestFit="1" customWidth="1"/>
    <col min="13" max="13" width="61.8984375" style="14" customWidth="1"/>
    <col min="14" max="16384" width="9" style="1"/>
  </cols>
  <sheetData>
    <row r="1" spans="1:13" ht="16.5" customHeight="1" x14ac:dyDescent="0.4">
      <c r="A1" s="88" t="s">
        <v>189</v>
      </c>
      <c r="B1" s="89"/>
      <c r="C1" s="89"/>
      <c r="D1" s="89"/>
      <c r="E1" s="90"/>
      <c r="F1" s="91" t="s">
        <v>184</v>
      </c>
      <c r="G1" s="92"/>
      <c r="H1" s="92"/>
      <c r="I1" s="93"/>
      <c r="J1" s="94" t="s">
        <v>37</v>
      </c>
      <c r="K1" s="89"/>
      <c r="L1" s="90"/>
      <c r="M1" s="79" t="s">
        <v>154</v>
      </c>
    </row>
    <row r="2" spans="1:13" x14ac:dyDescent="0.4">
      <c r="A2" s="15" t="s">
        <v>4</v>
      </c>
      <c r="B2" s="5" t="s">
        <v>10</v>
      </c>
      <c r="C2" s="5" t="s">
        <v>5</v>
      </c>
      <c r="D2" s="6" t="s">
        <v>6</v>
      </c>
      <c r="E2" s="16" t="s">
        <v>7</v>
      </c>
      <c r="F2" s="28" t="s">
        <v>4</v>
      </c>
      <c r="G2" s="22" t="s">
        <v>5</v>
      </c>
      <c r="H2" s="6" t="s">
        <v>6</v>
      </c>
      <c r="I2" s="16" t="s">
        <v>7</v>
      </c>
      <c r="J2" s="26" t="s">
        <v>6</v>
      </c>
      <c r="K2" s="5" t="s">
        <v>7</v>
      </c>
      <c r="L2" s="32" t="s">
        <v>71</v>
      </c>
      <c r="M2" s="32" t="s">
        <v>7</v>
      </c>
    </row>
    <row r="3" spans="1:13" x14ac:dyDescent="0.4">
      <c r="A3" s="86" t="s">
        <v>8</v>
      </c>
      <c r="B3" s="4">
        <v>1</v>
      </c>
      <c r="C3" s="3" t="s">
        <v>67</v>
      </c>
      <c r="D3" s="7">
        <v>43</v>
      </c>
      <c r="E3" s="17">
        <v>19747</v>
      </c>
      <c r="F3" s="29"/>
      <c r="G3" s="34"/>
      <c r="H3" s="24"/>
      <c r="I3" s="30"/>
      <c r="J3" s="35"/>
      <c r="K3" s="34"/>
      <c r="L3" s="83" t="s">
        <v>161</v>
      </c>
      <c r="M3" s="83"/>
    </row>
    <row r="4" spans="1:13" x14ac:dyDescent="0.4">
      <c r="A4" s="86"/>
      <c r="B4" s="4">
        <v>2</v>
      </c>
      <c r="C4" s="3" t="s">
        <v>68</v>
      </c>
      <c r="D4" s="7">
        <v>14</v>
      </c>
      <c r="E4" s="17">
        <v>360473</v>
      </c>
      <c r="F4" s="29"/>
      <c r="G4" s="34"/>
      <c r="H4" s="24"/>
      <c r="I4" s="30"/>
      <c r="J4" s="35"/>
      <c r="K4" s="34"/>
      <c r="L4" s="83" t="s">
        <v>161</v>
      </c>
      <c r="M4" s="83"/>
    </row>
    <row r="5" spans="1:13" x14ac:dyDescent="0.4">
      <c r="A5" s="86"/>
      <c r="B5" s="4">
        <v>3</v>
      </c>
      <c r="C5" s="3" t="s">
        <v>69</v>
      </c>
      <c r="D5" s="7">
        <v>54</v>
      </c>
      <c r="E5" s="17">
        <v>13306</v>
      </c>
      <c r="F5" s="29"/>
      <c r="G5" s="34"/>
      <c r="H5" s="24"/>
      <c r="I5" s="30"/>
      <c r="J5" s="35"/>
      <c r="K5" s="34"/>
      <c r="L5" s="83" t="s">
        <v>161</v>
      </c>
      <c r="M5" s="83"/>
    </row>
    <row r="6" spans="1:13" x14ac:dyDescent="0.4">
      <c r="A6" s="86"/>
      <c r="B6" s="4">
        <v>4</v>
      </c>
      <c r="C6" s="3" t="s">
        <v>70</v>
      </c>
      <c r="D6" s="7">
        <v>14</v>
      </c>
      <c r="E6" s="17">
        <v>301371</v>
      </c>
      <c r="F6" s="29"/>
      <c r="G6" s="34"/>
      <c r="H6" s="24"/>
      <c r="I6" s="30"/>
      <c r="J6" s="35"/>
      <c r="K6" s="34"/>
      <c r="L6" s="83" t="s">
        <v>161</v>
      </c>
      <c r="M6" s="83"/>
    </row>
    <row r="7" spans="1:13" x14ac:dyDescent="0.4">
      <c r="A7" s="86" t="s">
        <v>9</v>
      </c>
      <c r="B7" s="4">
        <v>1</v>
      </c>
      <c r="C7" s="3" t="s">
        <v>45</v>
      </c>
      <c r="D7" s="7">
        <v>23</v>
      </c>
      <c r="E7" s="17">
        <v>13616</v>
      </c>
      <c r="F7" s="31" t="s">
        <v>55</v>
      </c>
      <c r="G7" s="3" t="s">
        <v>45</v>
      </c>
      <c r="H7" s="7">
        <v>23</v>
      </c>
      <c r="I7" s="17">
        <v>13616</v>
      </c>
      <c r="J7" s="27" t="b">
        <f t="shared" ref="J7:J37" si="0">D7=H7</f>
        <v>1</v>
      </c>
      <c r="K7" s="3" t="b">
        <f t="shared" ref="K7:K37" si="1">E7=I7</f>
        <v>1</v>
      </c>
      <c r="L7" s="80"/>
      <c r="M7" s="80"/>
    </row>
    <row r="8" spans="1:13" x14ac:dyDescent="0.4">
      <c r="A8" s="86"/>
      <c r="B8" s="4">
        <v>2</v>
      </c>
      <c r="C8" s="55" t="s">
        <v>34</v>
      </c>
      <c r="D8" s="56">
        <v>12</v>
      </c>
      <c r="E8" s="57">
        <v>846805</v>
      </c>
      <c r="F8" s="63" t="s">
        <v>66</v>
      </c>
      <c r="G8" s="64" t="s">
        <v>64</v>
      </c>
      <c r="H8" s="56">
        <v>18</v>
      </c>
      <c r="I8" s="57">
        <v>902440</v>
      </c>
      <c r="J8" s="77" t="b">
        <f t="shared" si="0"/>
        <v>0</v>
      </c>
      <c r="K8" s="55" t="b">
        <f t="shared" si="1"/>
        <v>0</v>
      </c>
      <c r="L8" s="81"/>
      <c r="M8" s="81" t="s">
        <v>175</v>
      </c>
    </row>
    <row r="9" spans="1:13" x14ac:dyDescent="0.4">
      <c r="A9" s="86"/>
      <c r="B9" s="4">
        <v>3</v>
      </c>
      <c r="C9" s="3" t="s">
        <v>35</v>
      </c>
      <c r="D9" s="7">
        <v>11</v>
      </c>
      <c r="E9" s="17">
        <v>854280</v>
      </c>
      <c r="F9" s="31" t="s">
        <v>55</v>
      </c>
      <c r="G9" s="25" t="s">
        <v>56</v>
      </c>
      <c r="H9" s="7">
        <v>11</v>
      </c>
      <c r="I9" s="17">
        <v>854280</v>
      </c>
      <c r="J9" s="27" t="b">
        <f t="shared" si="0"/>
        <v>1</v>
      </c>
      <c r="K9" s="3" t="b">
        <f t="shared" si="1"/>
        <v>1</v>
      </c>
      <c r="L9" s="80"/>
      <c r="M9" s="80"/>
    </row>
    <row r="10" spans="1:13" x14ac:dyDescent="0.4">
      <c r="A10" s="86"/>
      <c r="B10" s="4">
        <v>4</v>
      </c>
      <c r="C10" s="55" t="s">
        <v>59</v>
      </c>
      <c r="D10" s="56">
        <v>15</v>
      </c>
      <c r="E10" s="57">
        <v>7784</v>
      </c>
      <c r="F10" s="63" t="s">
        <v>60</v>
      </c>
      <c r="G10" s="64" t="s">
        <v>61</v>
      </c>
      <c r="H10" s="56">
        <v>17</v>
      </c>
      <c r="I10" s="57">
        <v>7820</v>
      </c>
      <c r="J10" s="77" t="b">
        <f t="shared" si="0"/>
        <v>0</v>
      </c>
      <c r="K10" s="55" t="b">
        <f t="shared" si="1"/>
        <v>0</v>
      </c>
      <c r="L10" s="81"/>
      <c r="M10" s="81" t="s">
        <v>177</v>
      </c>
    </row>
    <row r="11" spans="1:13" x14ac:dyDescent="0.4">
      <c r="A11" s="86"/>
      <c r="B11" s="4">
        <v>5</v>
      </c>
      <c r="C11" s="55" t="s">
        <v>13</v>
      </c>
      <c r="D11" s="56">
        <v>20</v>
      </c>
      <c r="E11" s="57">
        <v>54544</v>
      </c>
      <c r="F11" s="63" t="s">
        <v>60</v>
      </c>
      <c r="G11" s="64" t="s">
        <v>62</v>
      </c>
      <c r="H11" s="56">
        <v>25</v>
      </c>
      <c r="I11" s="57">
        <v>65644</v>
      </c>
      <c r="J11" s="77" t="b">
        <f t="shared" si="0"/>
        <v>0</v>
      </c>
      <c r="K11" s="55" t="b">
        <f t="shared" si="1"/>
        <v>0</v>
      </c>
      <c r="L11" s="81"/>
      <c r="M11" s="81" t="s">
        <v>178</v>
      </c>
    </row>
    <row r="12" spans="1:13" x14ac:dyDescent="0.4">
      <c r="A12" s="86"/>
      <c r="B12" s="4">
        <v>6</v>
      </c>
      <c r="C12" s="55" t="s">
        <v>63</v>
      </c>
      <c r="D12" s="56">
        <v>16</v>
      </c>
      <c r="E12" s="57">
        <v>237</v>
      </c>
      <c r="F12" s="63" t="s">
        <v>60</v>
      </c>
      <c r="G12" s="64" t="s">
        <v>63</v>
      </c>
      <c r="H12" s="56">
        <v>19</v>
      </c>
      <c r="I12" s="57">
        <v>241</v>
      </c>
      <c r="J12" s="77" t="b">
        <f t="shared" si="0"/>
        <v>0</v>
      </c>
      <c r="K12" s="55" t="b">
        <f t="shared" si="1"/>
        <v>0</v>
      </c>
      <c r="L12" s="81"/>
      <c r="M12" s="81" t="s">
        <v>179</v>
      </c>
    </row>
    <row r="13" spans="1:13" x14ac:dyDescent="0.4">
      <c r="A13" s="86"/>
      <c r="B13" s="4">
        <v>7</v>
      </c>
      <c r="C13" s="3" t="s">
        <v>36</v>
      </c>
      <c r="D13" s="7">
        <v>29</v>
      </c>
      <c r="E13" s="17">
        <v>2531702</v>
      </c>
      <c r="F13" s="36" t="s">
        <v>55</v>
      </c>
      <c r="G13" s="3" t="s">
        <v>57</v>
      </c>
      <c r="H13" s="7">
        <v>29</v>
      </c>
      <c r="I13" s="17">
        <v>2531702</v>
      </c>
      <c r="J13" s="27" t="b">
        <f t="shared" si="0"/>
        <v>1</v>
      </c>
      <c r="K13" s="3" t="b">
        <f t="shared" si="1"/>
        <v>1</v>
      </c>
      <c r="L13" s="80"/>
      <c r="M13" s="80"/>
    </row>
    <row r="14" spans="1:13" x14ac:dyDescent="0.4">
      <c r="A14" s="86"/>
      <c r="B14" s="4">
        <v>8</v>
      </c>
      <c r="C14" s="3" t="s">
        <v>38</v>
      </c>
      <c r="D14" s="7">
        <v>27</v>
      </c>
      <c r="E14" s="17">
        <v>23579</v>
      </c>
      <c r="F14" s="36" t="s">
        <v>55</v>
      </c>
      <c r="G14" s="3" t="s">
        <v>58</v>
      </c>
      <c r="H14" s="7">
        <v>27</v>
      </c>
      <c r="I14" s="17">
        <v>23579</v>
      </c>
      <c r="J14" s="27" t="b">
        <f t="shared" si="0"/>
        <v>1</v>
      </c>
      <c r="K14" s="3" t="b">
        <f t="shared" si="1"/>
        <v>1</v>
      </c>
      <c r="L14" s="80"/>
      <c r="M14" s="80"/>
    </row>
    <row r="15" spans="1:13" x14ac:dyDescent="0.4">
      <c r="A15" s="86"/>
      <c r="B15" s="4">
        <v>9</v>
      </c>
      <c r="C15" s="3" t="s">
        <v>16</v>
      </c>
      <c r="D15" s="7">
        <v>26</v>
      </c>
      <c r="E15" s="17">
        <v>648248</v>
      </c>
      <c r="F15" s="36" t="s">
        <v>54</v>
      </c>
      <c r="G15" s="3" t="s">
        <v>16</v>
      </c>
      <c r="H15" s="7">
        <v>27</v>
      </c>
      <c r="I15" s="17">
        <v>648248</v>
      </c>
      <c r="J15" s="27" t="b">
        <f t="shared" si="0"/>
        <v>0</v>
      </c>
      <c r="K15" s="3" t="b">
        <f t="shared" si="1"/>
        <v>1</v>
      </c>
      <c r="L15" s="80"/>
      <c r="M15" s="80"/>
    </row>
    <row r="16" spans="1:13" x14ac:dyDescent="0.4">
      <c r="A16" s="86"/>
      <c r="B16" s="4">
        <v>10</v>
      </c>
      <c r="C16" s="3" t="s">
        <v>40</v>
      </c>
      <c r="D16" s="7">
        <v>36</v>
      </c>
      <c r="E16" s="17">
        <v>223624</v>
      </c>
      <c r="F16" s="36" t="s">
        <v>54</v>
      </c>
      <c r="G16" s="3" t="s">
        <v>17</v>
      </c>
      <c r="H16" s="7">
        <v>36</v>
      </c>
      <c r="I16" s="17">
        <v>223624</v>
      </c>
      <c r="J16" s="27" t="b">
        <f t="shared" si="0"/>
        <v>1</v>
      </c>
      <c r="K16" s="3" t="b">
        <f t="shared" si="1"/>
        <v>1</v>
      </c>
      <c r="L16" s="80"/>
      <c r="M16" s="80"/>
    </row>
    <row r="17" spans="1:13" x14ac:dyDescent="0.4">
      <c r="A17" s="86"/>
      <c r="B17" s="4">
        <v>11</v>
      </c>
      <c r="C17" s="3" t="s">
        <v>41</v>
      </c>
      <c r="D17" s="7">
        <v>22</v>
      </c>
      <c r="E17" s="17">
        <v>9377</v>
      </c>
      <c r="F17" s="36" t="s">
        <v>54</v>
      </c>
      <c r="G17" s="3" t="s">
        <v>18</v>
      </c>
      <c r="H17" s="7">
        <v>22</v>
      </c>
      <c r="I17" s="17">
        <v>9377</v>
      </c>
      <c r="J17" s="27" t="b">
        <f t="shared" si="0"/>
        <v>1</v>
      </c>
      <c r="K17" s="3" t="b">
        <f t="shared" si="1"/>
        <v>1</v>
      </c>
      <c r="L17" s="80"/>
      <c r="M17" s="80"/>
    </row>
    <row r="18" spans="1:13" x14ac:dyDescent="0.4">
      <c r="A18" s="86"/>
      <c r="B18" s="4">
        <v>12</v>
      </c>
      <c r="C18" s="3" t="s">
        <v>42</v>
      </c>
      <c r="D18" s="7">
        <v>60</v>
      </c>
      <c r="E18" s="17">
        <v>23579</v>
      </c>
      <c r="F18" s="36" t="s">
        <v>54</v>
      </c>
      <c r="G18" s="3" t="s">
        <v>19</v>
      </c>
      <c r="H18" s="7">
        <v>60</v>
      </c>
      <c r="I18" s="17">
        <v>23579</v>
      </c>
      <c r="J18" s="27" t="b">
        <f t="shared" si="0"/>
        <v>1</v>
      </c>
      <c r="K18" s="3" t="b">
        <f t="shared" si="1"/>
        <v>1</v>
      </c>
      <c r="L18" s="80"/>
      <c r="M18" s="80"/>
    </row>
    <row r="19" spans="1:13" x14ac:dyDescent="0.4">
      <c r="A19" s="86"/>
      <c r="B19" s="4">
        <v>13</v>
      </c>
      <c r="C19" s="55" t="s">
        <v>43</v>
      </c>
      <c r="D19" s="56">
        <v>30</v>
      </c>
      <c r="E19" s="57">
        <v>373</v>
      </c>
      <c r="F19" s="78" t="s">
        <v>55</v>
      </c>
      <c r="G19" s="55" t="s">
        <v>43</v>
      </c>
      <c r="H19" s="56">
        <v>31</v>
      </c>
      <c r="I19" s="57">
        <v>375</v>
      </c>
      <c r="J19" s="77" t="b">
        <f t="shared" si="0"/>
        <v>0</v>
      </c>
      <c r="K19" s="55" t="b">
        <f t="shared" si="1"/>
        <v>0</v>
      </c>
      <c r="L19" s="81"/>
      <c r="M19" s="81" t="s">
        <v>190</v>
      </c>
    </row>
    <row r="20" spans="1:13" x14ac:dyDescent="0.4">
      <c r="A20" s="86" t="s">
        <v>180</v>
      </c>
      <c r="B20" s="4">
        <v>1</v>
      </c>
      <c r="C20" s="3" t="s">
        <v>44</v>
      </c>
      <c r="D20" s="7">
        <v>22</v>
      </c>
      <c r="E20" s="17">
        <v>9535</v>
      </c>
      <c r="F20" s="36" t="s">
        <v>53</v>
      </c>
      <c r="G20" s="3" t="s">
        <v>11</v>
      </c>
      <c r="H20" s="7">
        <v>23</v>
      </c>
      <c r="I20" s="17">
        <v>9535</v>
      </c>
      <c r="J20" s="27" t="b">
        <f t="shared" si="0"/>
        <v>0</v>
      </c>
      <c r="K20" s="3" t="b">
        <f t="shared" si="1"/>
        <v>1</v>
      </c>
      <c r="L20" s="80"/>
      <c r="M20" s="80"/>
    </row>
    <row r="21" spans="1:13" x14ac:dyDescent="0.4">
      <c r="A21" s="86"/>
      <c r="B21" s="4">
        <v>2</v>
      </c>
      <c r="C21" s="3" t="s">
        <v>35</v>
      </c>
      <c r="D21" s="7">
        <v>12</v>
      </c>
      <c r="E21" s="17">
        <v>334439</v>
      </c>
      <c r="F21" s="36" t="s">
        <v>53</v>
      </c>
      <c r="G21" s="3" t="s">
        <v>56</v>
      </c>
      <c r="H21" s="7">
        <v>12</v>
      </c>
      <c r="I21" s="17">
        <v>334439</v>
      </c>
      <c r="J21" s="27" t="b">
        <f t="shared" si="0"/>
        <v>1</v>
      </c>
      <c r="K21" s="3" t="b">
        <f t="shared" si="1"/>
        <v>1</v>
      </c>
      <c r="L21" s="80"/>
      <c r="M21" s="80"/>
    </row>
    <row r="22" spans="1:13" x14ac:dyDescent="0.4">
      <c r="A22" s="86"/>
      <c r="B22" s="4">
        <v>3</v>
      </c>
      <c r="C22" s="3" t="s">
        <v>36</v>
      </c>
      <c r="D22" s="7">
        <v>29</v>
      </c>
      <c r="E22" s="17">
        <v>975096</v>
      </c>
      <c r="F22" s="36" t="s">
        <v>53</v>
      </c>
      <c r="G22" s="3" t="s">
        <v>57</v>
      </c>
      <c r="H22" s="7">
        <v>29</v>
      </c>
      <c r="I22" s="17">
        <v>975096</v>
      </c>
      <c r="J22" s="27" t="b">
        <f t="shared" si="0"/>
        <v>1</v>
      </c>
      <c r="K22" s="3" t="b">
        <f t="shared" si="1"/>
        <v>1</v>
      </c>
      <c r="L22" s="80"/>
      <c r="M22" s="80"/>
    </row>
    <row r="23" spans="1:13" x14ac:dyDescent="0.4">
      <c r="A23" s="86"/>
      <c r="B23" s="4">
        <v>4</v>
      </c>
      <c r="C23" s="3" t="s">
        <v>38</v>
      </c>
      <c r="D23" s="7">
        <v>27</v>
      </c>
      <c r="E23" s="17">
        <v>8531</v>
      </c>
      <c r="F23" s="36" t="s">
        <v>53</v>
      </c>
      <c r="G23" s="3" t="s">
        <v>58</v>
      </c>
      <c r="H23" s="7">
        <v>27</v>
      </c>
      <c r="I23" s="17">
        <v>8531</v>
      </c>
      <c r="J23" s="27" t="b">
        <f t="shared" si="0"/>
        <v>1</v>
      </c>
      <c r="K23" s="3" t="b">
        <f t="shared" si="1"/>
        <v>1</v>
      </c>
      <c r="L23" s="80"/>
      <c r="M23" s="80"/>
    </row>
    <row r="24" spans="1:13" x14ac:dyDescent="0.4">
      <c r="A24" s="86"/>
      <c r="B24" s="4">
        <v>5</v>
      </c>
      <c r="C24" s="3" t="s">
        <v>46</v>
      </c>
      <c r="D24" s="7">
        <v>26</v>
      </c>
      <c r="E24" s="17">
        <v>239888</v>
      </c>
      <c r="F24" s="36" t="s">
        <v>53</v>
      </c>
      <c r="G24" s="3" t="s">
        <v>16</v>
      </c>
      <c r="H24" s="7">
        <v>27</v>
      </c>
      <c r="I24" s="17">
        <v>239888</v>
      </c>
      <c r="J24" s="27" t="b">
        <f t="shared" si="0"/>
        <v>0</v>
      </c>
      <c r="K24" s="3" t="b">
        <f t="shared" si="1"/>
        <v>1</v>
      </c>
      <c r="L24" s="80"/>
      <c r="M24" s="80"/>
    </row>
    <row r="25" spans="1:13" x14ac:dyDescent="0.4">
      <c r="A25" s="86"/>
      <c r="B25" s="4">
        <v>6</v>
      </c>
      <c r="C25" s="3" t="s">
        <v>47</v>
      </c>
      <c r="D25" s="7">
        <v>36</v>
      </c>
      <c r="E25" s="17">
        <v>92915</v>
      </c>
      <c r="F25" s="36" t="s">
        <v>53</v>
      </c>
      <c r="G25" s="3" t="s">
        <v>17</v>
      </c>
      <c r="H25" s="7">
        <v>36</v>
      </c>
      <c r="I25" s="17">
        <v>92915</v>
      </c>
      <c r="J25" s="27" t="b">
        <f t="shared" si="0"/>
        <v>1</v>
      </c>
      <c r="K25" s="3" t="b">
        <f t="shared" si="1"/>
        <v>1</v>
      </c>
      <c r="L25" s="80"/>
      <c r="M25" s="80"/>
    </row>
    <row r="26" spans="1:13" x14ac:dyDescent="0.4">
      <c r="A26" s="86"/>
      <c r="B26" s="4">
        <v>7</v>
      </c>
      <c r="C26" s="3" t="s">
        <v>48</v>
      </c>
      <c r="D26" s="7">
        <v>21</v>
      </c>
      <c r="E26" s="17">
        <v>6910</v>
      </c>
      <c r="F26" s="36" t="s">
        <v>53</v>
      </c>
      <c r="G26" s="3" t="s">
        <v>18</v>
      </c>
      <c r="H26" s="7">
        <v>22</v>
      </c>
      <c r="I26" s="17">
        <v>6910</v>
      </c>
      <c r="J26" s="27" t="b">
        <f t="shared" si="0"/>
        <v>0</v>
      </c>
      <c r="K26" s="3" t="b">
        <f t="shared" si="1"/>
        <v>1</v>
      </c>
      <c r="L26" s="80"/>
      <c r="M26" s="80"/>
    </row>
    <row r="27" spans="1:13" x14ac:dyDescent="0.4">
      <c r="A27" s="86"/>
      <c r="B27" s="4">
        <v>8</v>
      </c>
      <c r="C27" s="3" t="s">
        <v>49</v>
      </c>
      <c r="D27" s="7">
        <v>60</v>
      </c>
      <c r="E27" s="17">
        <v>8531</v>
      </c>
      <c r="F27" s="36" t="s">
        <v>53</v>
      </c>
      <c r="G27" s="3" t="s">
        <v>19</v>
      </c>
      <c r="H27" s="7">
        <v>60</v>
      </c>
      <c r="I27" s="17">
        <v>8531</v>
      </c>
      <c r="J27" s="27" t="b">
        <f t="shared" si="0"/>
        <v>1</v>
      </c>
      <c r="K27" s="3" t="b">
        <f t="shared" si="1"/>
        <v>1</v>
      </c>
      <c r="L27" s="80"/>
      <c r="M27" s="80"/>
    </row>
    <row r="28" spans="1:13" x14ac:dyDescent="0.4">
      <c r="A28" s="86"/>
      <c r="B28" s="4">
        <v>9</v>
      </c>
      <c r="C28" s="55" t="s">
        <v>50</v>
      </c>
      <c r="D28" s="56">
        <v>29</v>
      </c>
      <c r="E28" s="57">
        <v>191</v>
      </c>
      <c r="F28" s="78" t="s">
        <v>53</v>
      </c>
      <c r="G28" s="55" t="s">
        <v>20</v>
      </c>
      <c r="H28" s="56">
        <v>30</v>
      </c>
      <c r="I28" s="57">
        <v>179</v>
      </c>
      <c r="J28" s="77" t="b">
        <f t="shared" si="0"/>
        <v>0</v>
      </c>
      <c r="K28" s="55" t="b">
        <f t="shared" si="1"/>
        <v>0</v>
      </c>
      <c r="L28" s="81"/>
      <c r="M28" s="81" t="s">
        <v>191</v>
      </c>
    </row>
    <row r="29" spans="1:13" x14ac:dyDescent="0.4">
      <c r="A29" s="86" t="s">
        <v>51</v>
      </c>
      <c r="B29" s="4">
        <v>1</v>
      </c>
      <c r="C29" s="3" t="s">
        <v>44</v>
      </c>
      <c r="D29" s="7">
        <v>22</v>
      </c>
      <c r="E29" s="17">
        <v>1946</v>
      </c>
      <c r="F29" s="36" t="s">
        <v>52</v>
      </c>
      <c r="G29" s="3" t="s">
        <v>11</v>
      </c>
      <c r="H29" s="7">
        <v>23</v>
      </c>
      <c r="I29" s="17">
        <v>1946</v>
      </c>
      <c r="J29" s="27" t="b">
        <f t="shared" si="0"/>
        <v>0</v>
      </c>
      <c r="K29" s="3" t="b">
        <f t="shared" si="1"/>
        <v>1</v>
      </c>
      <c r="L29" s="80"/>
      <c r="M29" s="80"/>
    </row>
    <row r="30" spans="1:13" x14ac:dyDescent="0.4">
      <c r="A30" s="86"/>
      <c r="B30" s="4">
        <v>2</v>
      </c>
      <c r="C30" s="3" t="s">
        <v>35</v>
      </c>
      <c r="D30" s="7">
        <v>12</v>
      </c>
      <c r="E30" s="17">
        <v>4516</v>
      </c>
      <c r="F30" s="36" t="s">
        <v>52</v>
      </c>
      <c r="G30" s="3" t="s">
        <v>56</v>
      </c>
      <c r="H30" s="7">
        <v>12</v>
      </c>
      <c r="I30" s="17">
        <v>4516</v>
      </c>
      <c r="J30" s="27" t="b">
        <f t="shared" si="0"/>
        <v>1</v>
      </c>
      <c r="K30" s="3" t="b">
        <f t="shared" si="1"/>
        <v>1</v>
      </c>
      <c r="L30" s="80"/>
      <c r="M30" s="80"/>
    </row>
    <row r="31" spans="1:13" x14ac:dyDescent="0.4">
      <c r="A31" s="86"/>
      <c r="B31" s="4">
        <v>3</v>
      </c>
      <c r="C31" s="3" t="s">
        <v>36</v>
      </c>
      <c r="D31" s="7">
        <v>29</v>
      </c>
      <c r="E31" s="17">
        <v>13309</v>
      </c>
      <c r="F31" s="36" t="s">
        <v>52</v>
      </c>
      <c r="G31" s="3" t="s">
        <v>57</v>
      </c>
      <c r="H31" s="7">
        <v>29</v>
      </c>
      <c r="I31" s="17">
        <v>13309</v>
      </c>
      <c r="J31" s="27" t="b">
        <f t="shared" si="0"/>
        <v>1</v>
      </c>
      <c r="K31" s="3" t="b">
        <f t="shared" si="1"/>
        <v>1</v>
      </c>
      <c r="L31" s="80"/>
      <c r="M31" s="80"/>
    </row>
    <row r="32" spans="1:13" x14ac:dyDescent="0.4">
      <c r="A32" s="86"/>
      <c r="B32" s="4">
        <v>4</v>
      </c>
      <c r="C32" s="3" t="s">
        <v>38</v>
      </c>
      <c r="D32" s="7">
        <v>27</v>
      </c>
      <c r="E32" s="17">
        <v>124</v>
      </c>
      <c r="F32" s="36" t="s">
        <v>52</v>
      </c>
      <c r="G32" s="3" t="s">
        <v>58</v>
      </c>
      <c r="H32" s="7">
        <v>27</v>
      </c>
      <c r="I32" s="17">
        <v>124</v>
      </c>
      <c r="J32" s="27" t="b">
        <f t="shared" si="0"/>
        <v>1</v>
      </c>
      <c r="K32" s="3" t="b">
        <f t="shared" si="1"/>
        <v>1</v>
      </c>
      <c r="L32" s="80"/>
      <c r="M32" s="80"/>
    </row>
    <row r="33" spans="1:13" x14ac:dyDescent="0.4">
      <c r="A33" s="86"/>
      <c r="B33" s="4">
        <v>5</v>
      </c>
      <c r="C33" s="3" t="s">
        <v>46</v>
      </c>
      <c r="D33" s="7">
        <v>26</v>
      </c>
      <c r="E33" s="17">
        <v>3303</v>
      </c>
      <c r="F33" s="36" t="s">
        <v>52</v>
      </c>
      <c r="G33" s="3" t="s">
        <v>16</v>
      </c>
      <c r="H33" s="7">
        <v>27</v>
      </c>
      <c r="I33" s="17">
        <v>3303</v>
      </c>
      <c r="J33" s="27" t="b">
        <f t="shared" si="0"/>
        <v>0</v>
      </c>
      <c r="K33" s="3" t="b">
        <f t="shared" si="1"/>
        <v>1</v>
      </c>
      <c r="L33" s="80"/>
      <c r="M33" s="80"/>
    </row>
    <row r="34" spans="1:13" x14ac:dyDescent="0.4">
      <c r="A34" s="86"/>
      <c r="B34" s="4">
        <v>6</v>
      </c>
      <c r="C34" s="3" t="s">
        <v>47</v>
      </c>
      <c r="D34" s="7">
        <v>36</v>
      </c>
      <c r="E34" s="17">
        <v>1265</v>
      </c>
      <c r="F34" s="36" t="s">
        <v>52</v>
      </c>
      <c r="G34" s="3" t="s">
        <v>17</v>
      </c>
      <c r="H34" s="7">
        <v>36</v>
      </c>
      <c r="I34" s="17">
        <v>1265</v>
      </c>
      <c r="J34" s="27" t="b">
        <f t="shared" si="0"/>
        <v>1</v>
      </c>
      <c r="K34" s="3" t="b">
        <f t="shared" si="1"/>
        <v>1</v>
      </c>
      <c r="L34" s="80"/>
      <c r="M34" s="80"/>
    </row>
    <row r="35" spans="1:13" x14ac:dyDescent="0.4">
      <c r="A35" s="86"/>
      <c r="B35" s="4">
        <v>7</v>
      </c>
      <c r="C35" s="3" t="s">
        <v>48</v>
      </c>
      <c r="D35" s="7">
        <v>21</v>
      </c>
      <c r="E35" s="17">
        <v>1142</v>
      </c>
      <c r="F35" s="36" t="s">
        <v>52</v>
      </c>
      <c r="G35" s="3" t="s">
        <v>18</v>
      </c>
      <c r="H35" s="7">
        <v>22</v>
      </c>
      <c r="I35" s="17">
        <v>1142</v>
      </c>
      <c r="J35" s="27" t="b">
        <f t="shared" si="0"/>
        <v>0</v>
      </c>
      <c r="K35" s="3" t="b">
        <f t="shared" si="1"/>
        <v>1</v>
      </c>
      <c r="L35" s="80"/>
      <c r="M35" s="80"/>
    </row>
    <row r="36" spans="1:13" x14ac:dyDescent="0.4">
      <c r="A36" s="86"/>
      <c r="B36" s="4">
        <v>8</v>
      </c>
      <c r="C36" s="3" t="s">
        <v>49</v>
      </c>
      <c r="D36" s="7">
        <v>60</v>
      </c>
      <c r="E36" s="17">
        <v>124</v>
      </c>
      <c r="F36" s="36" t="s">
        <v>52</v>
      </c>
      <c r="G36" s="3" t="s">
        <v>19</v>
      </c>
      <c r="H36" s="7">
        <v>60</v>
      </c>
      <c r="I36" s="17">
        <v>124</v>
      </c>
      <c r="J36" s="27" t="b">
        <f t="shared" si="0"/>
        <v>1</v>
      </c>
      <c r="K36" s="3" t="b">
        <f t="shared" si="1"/>
        <v>1</v>
      </c>
      <c r="L36" s="80"/>
      <c r="M36" s="80"/>
    </row>
    <row r="37" spans="1:13" ht="16.2" thickBot="1" x14ac:dyDescent="0.45">
      <c r="A37" s="87"/>
      <c r="B37" s="18">
        <v>9</v>
      </c>
      <c r="C37" s="19" t="s">
        <v>50</v>
      </c>
      <c r="D37" s="20">
        <v>29</v>
      </c>
      <c r="E37" s="21">
        <v>67</v>
      </c>
      <c r="F37" s="37" t="s">
        <v>52</v>
      </c>
      <c r="G37" s="19" t="s">
        <v>20</v>
      </c>
      <c r="H37" s="20">
        <v>30</v>
      </c>
      <c r="I37" s="21">
        <v>67</v>
      </c>
      <c r="J37" s="33" t="b">
        <f t="shared" si="0"/>
        <v>0</v>
      </c>
      <c r="K37" s="19" t="b">
        <f t="shared" si="1"/>
        <v>1</v>
      </c>
      <c r="L37" s="82"/>
      <c r="M37" s="82"/>
    </row>
  </sheetData>
  <mergeCells count="7">
    <mergeCell ref="A29:A37"/>
    <mergeCell ref="A1:E1"/>
    <mergeCell ref="F1:I1"/>
    <mergeCell ref="J1:L1"/>
    <mergeCell ref="A3:A6"/>
    <mergeCell ref="A7:A19"/>
    <mergeCell ref="A20:A28"/>
  </mergeCells>
  <phoneticPr fontId="1" type="noConversion"/>
  <conditionalFormatting sqref="F20:F28">
    <cfRule type="expression" dxfId="7" priority="6">
      <formula>H1=TRUE</formula>
    </cfRule>
  </conditionalFormatting>
  <conditionalFormatting sqref="I20">
    <cfRule type="expression" dxfId="6" priority="4">
      <formula>K1=TRUE</formula>
    </cfRule>
  </conditionalFormatting>
  <conditionalFormatting sqref="J1:J1048576">
    <cfRule type="expression" dxfId="5" priority="1">
      <formula>J1=TRUE</formula>
    </cfRule>
  </conditionalFormatting>
  <conditionalFormatting sqref="K2:K1048576">
    <cfRule type="expression" dxfId="4" priority="5">
      <formula>K2=TRUE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57B3-51C3-4BBC-A50E-82A90BC9F449}">
  <dimension ref="A1:M8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M1" sqref="A1:M2"/>
    </sheetView>
  </sheetViews>
  <sheetFormatPr defaultColWidth="9" defaultRowHeight="15.6" x14ac:dyDescent="0.4"/>
  <cols>
    <col min="1" max="1" width="32.59765625" style="2" bestFit="1" customWidth="1"/>
    <col min="2" max="2" width="4" style="11" bestFit="1" customWidth="1"/>
    <col min="3" max="3" width="32.8984375" style="2" bestFit="1" customWidth="1"/>
    <col min="4" max="4" width="9.09765625" style="13" bestFit="1" customWidth="1"/>
    <col min="5" max="5" width="9.8984375" style="13" bestFit="1" customWidth="1"/>
    <col min="6" max="6" width="29.8984375" style="2" bestFit="1" customWidth="1"/>
    <col min="7" max="7" width="24.09765625" style="2" bestFit="1" customWidth="1"/>
    <col min="8" max="8" width="9.09765625" style="13" bestFit="1" customWidth="1"/>
    <col min="9" max="9" width="9.8984375" style="13" bestFit="1" customWidth="1"/>
    <col min="10" max="10" width="9.09765625" style="2" bestFit="1" customWidth="1"/>
    <col min="11" max="11" width="9" style="2"/>
    <col min="12" max="12" width="21.09765625" style="11" bestFit="1" customWidth="1"/>
    <col min="13" max="13" width="84.59765625" style="11" bestFit="1" customWidth="1"/>
    <col min="14" max="16384" width="9" style="2"/>
  </cols>
  <sheetData>
    <row r="1" spans="1:13" x14ac:dyDescent="0.4">
      <c r="A1" s="88" t="s">
        <v>189</v>
      </c>
      <c r="B1" s="89"/>
      <c r="C1" s="89"/>
      <c r="D1" s="89"/>
      <c r="E1" s="90"/>
      <c r="F1" s="88" t="s">
        <v>184</v>
      </c>
      <c r="G1" s="89"/>
      <c r="H1" s="89"/>
      <c r="I1" s="90"/>
      <c r="J1" s="95" t="s">
        <v>37</v>
      </c>
      <c r="K1" s="96"/>
      <c r="L1" s="94"/>
      <c r="M1" s="66" t="s">
        <v>154</v>
      </c>
    </row>
    <row r="2" spans="1:13" x14ac:dyDescent="0.4">
      <c r="A2" s="15" t="s">
        <v>4</v>
      </c>
      <c r="B2" s="5" t="s">
        <v>10</v>
      </c>
      <c r="C2" s="5" t="s">
        <v>5</v>
      </c>
      <c r="D2" s="6" t="s">
        <v>6</v>
      </c>
      <c r="E2" s="16" t="s">
        <v>7</v>
      </c>
      <c r="F2" s="15" t="s">
        <v>4</v>
      </c>
      <c r="G2" s="5" t="s">
        <v>5</v>
      </c>
      <c r="H2" s="6" t="s">
        <v>6</v>
      </c>
      <c r="I2" s="16" t="s">
        <v>7</v>
      </c>
      <c r="J2" s="26" t="s">
        <v>6</v>
      </c>
      <c r="K2" s="5" t="s">
        <v>7</v>
      </c>
      <c r="L2" s="32" t="s">
        <v>71</v>
      </c>
      <c r="M2" s="32" t="s">
        <v>7</v>
      </c>
    </row>
    <row r="3" spans="1:13" x14ac:dyDescent="0.4">
      <c r="A3" s="86" t="s">
        <v>155</v>
      </c>
      <c r="B3" s="4">
        <v>1</v>
      </c>
      <c r="C3" s="3" t="s">
        <v>0</v>
      </c>
      <c r="D3" s="7">
        <v>43</v>
      </c>
      <c r="E3" s="17">
        <v>16099</v>
      </c>
      <c r="F3" s="47"/>
      <c r="G3" s="34"/>
      <c r="H3" s="24"/>
      <c r="I3" s="30"/>
      <c r="J3" s="44"/>
      <c r="K3" s="38"/>
      <c r="L3" s="84" t="s">
        <v>85</v>
      </c>
      <c r="M3" s="85"/>
    </row>
    <row r="4" spans="1:13" x14ac:dyDescent="0.4">
      <c r="A4" s="86"/>
      <c r="B4" s="4">
        <v>2</v>
      </c>
      <c r="C4" s="3" t="s">
        <v>1</v>
      </c>
      <c r="D4" s="7">
        <v>14</v>
      </c>
      <c r="E4" s="17">
        <v>228487</v>
      </c>
      <c r="F4" s="47"/>
      <c r="G4" s="34"/>
      <c r="H4" s="24"/>
      <c r="I4" s="30"/>
      <c r="J4" s="44"/>
      <c r="K4" s="38"/>
      <c r="L4" s="84" t="s">
        <v>161</v>
      </c>
      <c r="M4" s="85"/>
    </row>
    <row r="5" spans="1:13" x14ac:dyDescent="0.4">
      <c r="A5" s="86"/>
      <c r="B5" s="4">
        <v>3</v>
      </c>
      <c r="C5" s="3" t="s">
        <v>2</v>
      </c>
      <c r="D5" s="7">
        <v>54</v>
      </c>
      <c r="E5" s="17">
        <v>11173</v>
      </c>
      <c r="F5" s="47"/>
      <c r="G5" s="34"/>
      <c r="H5" s="24"/>
      <c r="I5" s="30"/>
      <c r="J5" s="44"/>
      <c r="K5" s="38"/>
      <c r="L5" s="84" t="s">
        <v>161</v>
      </c>
      <c r="M5" s="85"/>
    </row>
    <row r="6" spans="1:13" x14ac:dyDescent="0.4">
      <c r="A6" s="86"/>
      <c r="B6" s="4">
        <v>4</v>
      </c>
      <c r="C6" s="3" t="s">
        <v>3</v>
      </c>
      <c r="D6" s="7">
        <v>14</v>
      </c>
      <c r="E6" s="17">
        <v>214288</v>
      </c>
      <c r="F6" s="47"/>
      <c r="G6" s="34"/>
      <c r="H6" s="24"/>
      <c r="I6" s="30"/>
      <c r="J6" s="44"/>
      <c r="K6" s="38"/>
      <c r="L6" s="84" t="s">
        <v>85</v>
      </c>
      <c r="M6" s="85"/>
    </row>
    <row r="7" spans="1:13" x14ac:dyDescent="0.4">
      <c r="A7" s="86"/>
      <c r="B7" s="4">
        <v>5</v>
      </c>
      <c r="C7" s="3" t="s">
        <v>72</v>
      </c>
      <c r="D7" s="7">
        <v>7</v>
      </c>
      <c r="E7" s="17">
        <v>401</v>
      </c>
      <c r="F7" s="47"/>
      <c r="G7" s="34"/>
      <c r="H7" s="24"/>
      <c r="I7" s="30"/>
      <c r="J7" s="44"/>
      <c r="K7" s="38"/>
      <c r="L7" s="84" t="s">
        <v>109</v>
      </c>
      <c r="M7" s="85"/>
    </row>
    <row r="8" spans="1:13" x14ac:dyDescent="0.4">
      <c r="A8" s="86" t="s">
        <v>156</v>
      </c>
      <c r="B8" s="4">
        <v>1</v>
      </c>
      <c r="C8" s="3" t="s">
        <v>45</v>
      </c>
      <c r="D8" s="7">
        <v>23</v>
      </c>
      <c r="E8" s="17">
        <v>796</v>
      </c>
      <c r="F8" s="48" t="s">
        <v>66</v>
      </c>
      <c r="G8" s="3" t="s">
        <v>11</v>
      </c>
      <c r="H8" s="7">
        <v>23</v>
      </c>
      <c r="I8" s="17">
        <v>796</v>
      </c>
      <c r="J8" s="43" t="b">
        <f t="shared" ref="J8:J67" si="0">D8=H8</f>
        <v>1</v>
      </c>
      <c r="K8" s="9" t="b">
        <f t="shared" ref="K8:K67" si="1">E8=I8</f>
        <v>1</v>
      </c>
      <c r="L8" s="54"/>
      <c r="M8" s="53"/>
    </row>
    <row r="9" spans="1:13" x14ac:dyDescent="0.4">
      <c r="A9" s="86"/>
      <c r="B9" s="4">
        <v>2</v>
      </c>
      <c r="C9" s="55" t="s">
        <v>34</v>
      </c>
      <c r="D9" s="56">
        <v>12</v>
      </c>
      <c r="E9" s="57">
        <v>28243</v>
      </c>
      <c r="F9" s="58" t="s">
        <v>65</v>
      </c>
      <c r="G9" s="55" t="s">
        <v>157</v>
      </c>
      <c r="H9" s="56">
        <v>17</v>
      </c>
      <c r="I9" s="57">
        <v>29683</v>
      </c>
      <c r="J9" s="59" t="b">
        <f t="shared" si="0"/>
        <v>0</v>
      </c>
      <c r="K9" s="60" t="b">
        <f t="shared" si="1"/>
        <v>0</v>
      </c>
      <c r="L9" s="61"/>
      <c r="M9" s="62" t="s">
        <v>175</v>
      </c>
    </row>
    <row r="10" spans="1:13" x14ac:dyDescent="0.4">
      <c r="A10" s="86"/>
      <c r="B10" s="4">
        <v>3</v>
      </c>
      <c r="C10" s="3" t="s">
        <v>35</v>
      </c>
      <c r="D10" s="7">
        <v>12</v>
      </c>
      <c r="E10" s="17">
        <v>28058</v>
      </c>
      <c r="F10" s="48" t="s">
        <v>65</v>
      </c>
      <c r="G10" s="3" t="s">
        <v>56</v>
      </c>
      <c r="H10" s="7">
        <v>11</v>
      </c>
      <c r="I10" s="17">
        <v>28058</v>
      </c>
      <c r="J10" s="43" t="b">
        <f t="shared" si="0"/>
        <v>0</v>
      </c>
      <c r="K10" s="9" t="b">
        <f t="shared" si="1"/>
        <v>1</v>
      </c>
      <c r="L10" s="54"/>
      <c r="M10" s="53"/>
    </row>
    <row r="11" spans="1:13" x14ac:dyDescent="0.4">
      <c r="A11" s="86"/>
      <c r="B11" s="4">
        <v>4</v>
      </c>
      <c r="C11" s="55" t="s">
        <v>59</v>
      </c>
      <c r="D11" s="56">
        <v>15</v>
      </c>
      <c r="E11" s="57">
        <v>1280</v>
      </c>
      <c r="F11" s="63" t="s">
        <v>60</v>
      </c>
      <c r="G11" s="64" t="s">
        <v>61</v>
      </c>
      <c r="H11" s="56">
        <v>17</v>
      </c>
      <c r="I11" s="57">
        <v>1282</v>
      </c>
      <c r="J11" s="59" t="b">
        <f t="shared" si="0"/>
        <v>0</v>
      </c>
      <c r="K11" s="60" t="b">
        <f t="shared" si="1"/>
        <v>0</v>
      </c>
      <c r="L11" s="61"/>
      <c r="M11" s="65" t="s">
        <v>176</v>
      </c>
    </row>
    <row r="12" spans="1:13" x14ac:dyDescent="0.4">
      <c r="A12" s="86"/>
      <c r="B12" s="4">
        <v>5</v>
      </c>
      <c r="C12" s="55" t="s">
        <v>62</v>
      </c>
      <c r="D12" s="56">
        <v>20</v>
      </c>
      <c r="E12" s="57">
        <v>23978</v>
      </c>
      <c r="F12" s="63" t="s">
        <v>60</v>
      </c>
      <c r="G12" s="64" t="s">
        <v>62</v>
      </c>
      <c r="H12" s="56">
        <v>25</v>
      </c>
      <c r="I12" s="57">
        <v>24009</v>
      </c>
      <c r="J12" s="59" t="b">
        <f t="shared" si="0"/>
        <v>0</v>
      </c>
      <c r="K12" s="60" t="b">
        <f t="shared" si="1"/>
        <v>0</v>
      </c>
      <c r="L12" s="61"/>
      <c r="M12" s="62" t="s">
        <v>176</v>
      </c>
    </row>
    <row r="13" spans="1:13" x14ac:dyDescent="0.4">
      <c r="A13" s="86"/>
      <c r="B13" s="4">
        <v>6</v>
      </c>
      <c r="C13" s="55" t="s">
        <v>63</v>
      </c>
      <c r="D13" s="56">
        <v>16</v>
      </c>
      <c r="E13" s="57">
        <v>237</v>
      </c>
      <c r="F13" s="63" t="s">
        <v>60</v>
      </c>
      <c r="G13" s="64" t="s">
        <v>63</v>
      </c>
      <c r="H13" s="56">
        <v>19</v>
      </c>
      <c r="I13" s="57">
        <v>241</v>
      </c>
      <c r="J13" s="59" t="b">
        <f t="shared" si="0"/>
        <v>0</v>
      </c>
      <c r="K13" s="60" t="b">
        <f t="shared" si="1"/>
        <v>0</v>
      </c>
      <c r="L13" s="61"/>
      <c r="M13" s="62" t="s">
        <v>176</v>
      </c>
    </row>
    <row r="14" spans="1:13" x14ac:dyDescent="0.4">
      <c r="A14" s="86"/>
      <c r="B14" s="4">
        <v>7</v>
      </c>
      <c r="C14" s="3" t="s">
        <v>36</v>
      </c>
      <c r="D14" s="7">
        <v>29</v>
      </c>
      <c r="E14" s="17">
        <v>77280</v>
      </c>
      <c r="F14" s="48" t="s">
        <v>65</v>
      </c>
      <c r="G14" s="3" t="s">
        <v>57</v>
      </c>
      <c r="H14" s="7">
        <v>29</v>
      </c>
      <c r="I14" s="17">
        <v>77280</v>
      </c>
      <c r="J14" s="43" t="b">
        <f t="shared" si="0"/>
        <v>1</v>
      </c>
      <c r="K14" s="9" t="b">
        <f t="shared" si="1"/>
        <v>1</v>
      </c>
      <c r="L14" s="54"/>
      <c r="M14" s="53"/>
    </row>
    <row r="15" spans="1:13" x14ac:dyDescent="0.4">
      <c r="A15" s="86"/>
      <c r="B15" s="4">
        <v>8</v>
      </c>
      <c r="C15" s="3" t="s">
        <v>38</v>
      </c>
      <c r="D15" s="7">
        <v>27</v>
      </c>
      <c r="E15" s="17">
        <v>720</v>
      </c>
      <c r="F15" s="48" t="s">
        <v>66</v>
      </c>
      <c r="G15" s="3" t="s">
        <v>73</v>
      </c>
      <c r="H15" s="7">
        <v>27</v>
      </c>
      <c r="I15" s="17">
        <v>720</v>
      </c>
      <c r="J15" s="43" t="b">
        <f t="shared" si="0"/>
        <v>1</v>
      </c>
      <c r="K15" s="9" t="b">
        <f t="shared" si="1"/>
        <v>1</v>
      </c>
      <c r="L15" s="54"/>
      <c r="M15" s="53"/>
    </row>
    <row r="16" spans="1:13" x14ac:dyDescent="0.4">
      <c r="A16" s="86"/>
      <c r="B16" s="4">
        <v>9</v>
      </c>
      <c r="C16" s="3" t="s">
        <v>74</v>
      </c>
      <c r="D16" s="7">
        <v>12</v>
      </c>
      <c r="E16" s="17">
        <v>1680</v>
      </c>
      <c r="F16" s="47"/>
      <c r="G16" s="34"/>
      <c r="H16" s="24"/>
      <c r="I16" s="30"/>
      <c r="J16" s="44"/>
      <c r="K16" s="38"/>
      <c r="L16" s="84" t="s">
        <v>76</v>
      </c>
      <c r="M16" s="85"/>
    </row>
    <row r="17" spans="1:13" x14ac:dyDescent="0.4">
      <c r="A17" s="86"/>
      <c r="B17" s="4">
        <v>10</v>
      </c>
      <c r="C17" s="3" t="s">
        <v>39</v>
      </c>
      <c r="D17" s="7">
        <v>26</v>
      </c>
      <c r="E17" s="17">
        <v>19946</v>
      </c>
      <c r="F17" s="48" t="s">
        <v>65</v>
      </c>
      <c r="G17" s="3" t="s">
        <v>16</v>
      </c>
      <c r="H17" s="7">
        <v>27</v>
      </c>
      <c r="I17" s="17">
        <v>19946</v>
      </c>
      <c r="J17" s="43" t="b">
        <f t="shared" si="0"/>
        <v>0</v>
      </c>
      <c r="K17" s="9" t="b">
        <f t="shared" si="1"/>
        <v>1</v>
      </c>
      <c r="L17" s="54"/>
      <c r="M17" s="53"/>
    </row>
    <row r="18" spans="1:13" x14ac:dyDescent="0.4">
      <c r="A18" s="86"/>
      <c r="B18" s="4">
        <v>11</v>
      </c>
      <c r="C18" s="55" t="s">
        <v>77</v>
      </c>
      <c r="D18" s="56">
        <v>90</v>
      </c>
      <c r="E18" s="57">
        <v>423034</v>
      </c>
      <c r="F18" s="58" t="s">
        <v>65</v>
      </c>
      <c r="G18" s="55" t="s">
        <v>158</v>
      </c>
      <c r="H18" s="56">
        <v>91</v>
      </c>
      <c r="I18" s="57">
        <v>424921</v>
      </c>
      <c r="J18" s="59" t="b">
        <f t="shared" si="0"/>
        <v>0</v>
      </c>
      <c r="K18" s="60" t="b">
        <f t="shared" si="1"/>
        <v>0</v>
      </c>
      <c r="L18" s="61"/>
      <c r="M18" s="62" t="s">
        <v>164</v>
      </c>
    </row>
    <row r="19" spans="1:13" x14ac:dyDescent="0.4">
      <c r="A19" s="86"/>
      <c r="B19" s="4">
        <v>12</v>
      </c>
      <c r="C19" s="55" t="s">
        <v>79</v>
      </c>
      <c r="D19" s="56">
        <v>5</v>
      </c>
      <c r="E19" s="57">
        <v>122182</v>
      </c>
      <c r="F19" s="58" t="s">
        <v>65</v>
      </c>
      <c r="G19" s="55" t="s">
        <v>159</v>
      </c>
      <c r="H19" s="56">
        <v>6</v>
      </c>
      <c r="I19" s="57">
        <v>122762</v>
      </c>
      <c r="J19" s="59" t="b">
        <f t="shared" si="0"/>
        <v>0</v>
      </c>
      <c r="K19" s="60" t="b">
        <f t="shared" si="1"/>
        <v>0</v>
      </c>
      <c r="L19" s="61"/>
      <c r="M19" s="62" t="s">
        <v>165</v>
      </c>
    </row>
    <row r="20" spans="1:13" x14ac:dyDescent="0.4">
      <c r="A20" s="86"/>
      <c r="B20" s="4">
        <v>13</v>
      </c>
      <c r="C20" s="55" t="s">
        <v>81</v>
      </c>
      <c r="D20" s="56">
        <v>23</v>
      </c>
      <c r="E20" s="57">
        <v>142241</v>
      </c>
      <c r="F20" s="58" t="s">
        <v>65</v>
      </c>
      <c r="G20" s="55" t="s">
        <v>160</v>
      </c>
      <c r="H20" s="56">
        <v>24</v>
      </c>
      <c r="I20" s="57">
        <v>134292</v>
      </c>
      <c r="J20" s="59" t="b">
        <f t="shared" si="0"/>
        <v>0</v>
      </c>
      <c r="K20" s="60" t="b">
        <f t="shared" si="1"/>
        <v>0</v>
      </c>
      <c r="L20" s="61"/>
      <c r="M20" s="62" t="s">
        <v>162</v>
      </c>
    </row>
    <row r="21" spans="1:13" x14ac:dyDescent="0.4">
      <c r="A21" s="86"/>
      <c r="B21" s="4">
        <v>14</v>
      </c>
      <c r="C21" s="3" t="s">
        <v>83</v>
      </c>
      <c r="D21" s="7">
        <v>19</v>
      </c>
      <c r="E21" s="17">
        <v>215</v>
      </c>
      <c r="F21" s="47"/>
      <c r="G21" s="34"/>
      <c r="H21" s="24"/>
      <c r="I21" s="30"/>
      <c r="J21" s="44"/>
      <c r="K21" s="38"/>
      <c r="L21" s="54" t="s">
        <v>76</v>
      </c>
      <c r="M21" s="53"/>
    </row>
    <row r="22" spans="1:13" x14ac:dyDescent="0.4">
      <c r="A22" s="86"/>
      <c r="B22" s="4">
        <v>15</v>
      </c>
      <c r="C22" s="3" t="s">
        <v>40</v>
      </c>
      <c r="D22" s="7">
        <v>36</v>
      </c>
      <c r="E22" s="17">
        <v>8466</v>
      </c>
      <c r="F22" s="48" t="s">
        <v>65</v>
      </c>
      <c r="G22" s="3" t="s">
        <v>17</v>
      </c>
      <c r="H22" s="7">
        <v>36</v>
      </c>
      <c r="I22" s="17">
        <v>8466</v>
      </c>
      <c r="J22" s="43" t="b">
        <f t="shared" si="0"/>
        <v>1</v>
      </c>
      <c r="K22" s="9" t="b">
        <f t="shared" si="1"/>
        <v>1</v>
      </c>
      <c r="L22" s="54"/>
      <c r="M22" s="53"/>
    </row>
    <row r="23" spans="1:13" x14ac:dyDescent="0.4">
      <c r="A23" s="86"/>
      <c r="B23" s="4">
        <v>16</v>
      </c>
      <c r="C23" s="3" t="s">
        <v>41</v>
      </c>
      <c r="D23" s="7">
        <v>22</v>
      </c>
      <c r="E23" s="17">
        <v>562</v>
      </c>
      <c r="F23" s="48" t="s">
        <v>65</v>
      </c>
      <c r="G23" s="3" t="s">
        <v>18</v>
      </c>
      <c r="H23" s="7">
        <v>22</v>
      </c>
      <c r="I23" s="17">
        <v>562</v>
      </c>
      <c r="J23" s="43" t="b">
        <f t="shared" si="0"/>
        <v>1</v>
      </c>
      <c r="K23" s="9" t="b">
        <f t="shared" si="1"/>
        <v>1</v>
      </c>
      <c r="L23" s="54"/>
      <c r="M23" s="53"/>
    </row>
    <row r="24" spans="1:13" x14ac:dyDescent="0.4">
      <c r="A24" s="86"/>
      <c r="B24" s="4">
        <v>17</v>
      </c>
      <c r="C24" s="3" t="s">
        <v>42</v>
      </c>
      <c r="D24" s="7">
        <v>60</v>
      </c>
      <c r="E24" s="17">
        <v>720</v>
      </c>
      <c r="F24" s="48" t="s">
        <v>65</v>
      </c>
      <c r="G24" s="3" t="s">
        <v>19</v>
      </c>
      <c r="H24" s="7">
        <v>60</v>
      </c>
      <c r="I24" s="17">
        <v>720</v>
      </c>
      <c r="J24" s="43" t="b">
        <f t="shared" si="0"/>
        <v>1</v>
      </c>
      <c r="K24" s="9" t="b">
        <f t="shared" si="1"/>
        <v>1</v>
      </c>
      <c r="L24" s="54"/>
      <c r="M24" s="53"/>
    </row>
    <row r="25" spans="1:13" x14ac:dyDescent="0.4">
      <c r="A25" s="86"/>
      <c r="B25" s="4">
        <v>18</v>
      </c>
      <c r="C25" s="3" t="s">
        <v>43</v>
      </c>
      <c r="D25" s="7">
        <v>30</v>
      </c>
      <c r="E25" s="17">
        <v>10</v>
      </c>
      <c r="F25" s="48" t="s">
        <v>66</v>
      </c>
      <c r="G25" s="3" t="s">
        <v>20</v>
      </c>
      <c r="H25" s="7">
        <v>31</v>
      </c>
      <c r="I25" s="17">
        <v>10</v>
      </c>
      <c r="J25" s="43" t="b">
        <f t="shared" si="0"/>
        <v>0</v>
      </c>
      <c r="K25" s="9" t="b">
        <f t="shared" si="1"/>
        <v>1</v>
      </c>
      <c r="L25" s="54"/>
      <c r="M25" s="53"/>
    </row>
    <row r="26" spans="1:13" x14ac:dyDescent="0.4">
      <c r="A26" s="86" t="s">
        <v>87</v>
      </c>
      <c r="B26" s="4">
        <v>1</v>
      </c>
      <c r="C26" s="3" t="s">
        <v>84</v>
      </c>
      <c r="D26" s="7">
        <v>6</v>
      </c>
      <c r="E26" s="17">
        <v>1290</v>
      </c>
      <c r="F26" s="47"/>
      <c r="G26" s="34"/>
      <c r="H26" s="24"/>
      <c r="I26" s="30"/>
      <c r="J26" s="44"/>
      <c r="K26" s="38"/>
      <c r="L26" s="84" t="s">
        <v>85</v>
      </c>
      <c r="M26" s="85"/>
    </row>
    <row r="27" spans="1:13" x14ac:dyDescent="0.4">
      <c r="A27" s="86"/>
      <c r="B27" s="4">
        <v>2</v>
      </c>
      <c r="C27" s="55" t="s">
        <v>86</v>
      </c>
      <c r="D27" s="56">
        <v>11</v>
      </c>
      <c r="E27" s="57">
        <v>15482</v>
      </c>
      <c r="F27" s="58" t="s">
        <v>88</v>
      </c>
      <c r="G27" s="55" t="s">
        <v>21</v>
      </c>
      <c r="H27" s="56">
        <v>11</v>
      </c>
      <c r="I27" s="57">
        <v>15604</v>
      </c>
      <c r="J27" s="59" t="b">
        <f t="shared" si="0"/>
        <v>1</v>
      </c>
      <c r="K27" s="60" t="b">
        <f t="shared" si="1"/>
        <v>0</v>
      </c>
      <c r="L27" s="61"/>
      <c r="M27" s="62" t="s">
        <v>186</v>
      </c>
    </row>
    <row r="28" spans="1:13" x14ac:dyDescent="0.4">
      <c r="A28" s="86"/>
      <c r="B28" s="4">
        <v>3</v>
      </c>
      <c r="C28" s="55" t="s">
        <v>89</v>
      </c>
      <c r="D28" s="56">
        <v>25</v>
      </c>
      <c r="E28" s="57">
        <v>451137</v>
      </c>
      <c r="F28" s="58" t="s">
        <v>88</v>
      </c>
      <c r="G28" s="55" t="s">
        <v>89</v>
      </c>
      <c r="H28" s="56">
        <v>25</v>
      </c>
      <c r="I28" s="57">
        <v>454289</v>
      </c>
      <c r="J28" s="59" t="b">
        <f t="shared" si="0"/>
        <v>1</v>
      </c>
      <c r="K28" s="60" t="b">
        <f t="shared" si="1"/>
        <v>0</v>
      </c>
      <c r="L28" s="61"/>
      <c r="M28" s="62" t="s">
        <v>186</v>
      </c>
    </row>
    <row r="29" spans="1:13" x14ac:dyDescent="0.4">
      <c r="A29" s="86"/>
      <c r="B29" s="4">
        <v>4</v>
      </c>
      <c r="C29" s="55" t="s">
        <v>90</v>
      </c>
      <c r="D29" s="56">
        <v>6</v>
      </c>
      <c r="E29" s="57">
        <v>15907</v>
      </c>
      <c r="F29" s="58" t="s">
        <v>88</v>
      </c>
      <c r="G29" s="55" t="s">
        <v>90</v>
      </c>
      <c r="H29" s="56">
        <v>6</v>
      </c>
      <c r="I29" s="57">
        <v>16804</v>
      </c>
      <c r="J29" s="59" t="b">
        <f t="shared" si="0"/>
        <v>1</v>
      </c>
      <c r="K29" s="60" t="b">
        <f t="shared" si="1"/>
        <v>0</v>
      </c>
      <c r="L29" s="61"/>
      <c r="M29" s="62" t="s">
        <v>186</v>
      </c>
    </row>
    <row r="30" spans="1:13" x14ac:dyDescent="0.4">
      <c r="A30" s="86"/>
      <c r="B30" s="4">
        <v>5</v>
      </c>
      <c r="C30" s="55" t="s">
        <v>91</v>
      </c>
      <c r="D30" s="56">
        <v>5</v>
      </c>
      <c r="E30" s="57">
        <v>15236</v>
      </c>
      <c r="F30" s="58" t="s">
        <v>88</v>
      </c>
      <c r="G30" s="55" t="s">
        <v>91</v>
      </c>
      <c r="H30" s="56">
        <v>6</v>
      </c>
      <c r="I30" s="57">
        <v>15399</v>
      </c>
      <c r="J30" s="59" t="b">
        <f t="shared" si="0"/>
        <v>0</v>
      </c>
      <c r="K30" s="60" t="b">
        <f t="shared" si="1"/>
        <v>0</v>
      </c>
      <c r="L30" s="61"/>
      <c r="M30" s="62" t="s">
        <v>186</v>
      </c>
    </row>
    <row r="31" spans="1:13" x14ac:dyDescent="0.4">
      <c r="A31" s="86"/>
      <c r="B31" s="4">
        <v>6</v>
      </c>
      <c r="C31" s="55" t="s">
        <v>92</v>
      </c>
      <c r="D31" s="56">
        <v>7</v>
      </c>
      <c r="E31" s="57">
        <v>8004941</v>
      </c>
      <c r="F31" s="58" t="s">
        <v>88</v>
      </c>
      <c r="G31" s="55" t="s">
        <v>92</v>
      </c>
      <c r="H31" s="56">
        <v>7</v>
      </c>
      <c r="I31" s="57">
        <v>8065976</v>
      </c>
      <c r="J31" s="59" t="b">
        <f t="shared" si="0"/>
        <v>1</v>
      </c>
      <c r="K31" s="60" t="b">
        <f t="shared" si="1"/>
        <v>0</v>
      </c>
      <c r="L31" s="61"/>
      <c r="M31" s="62" t="s">
        <v>186</v>
      </c>
    </row>
    <row r="32" spans="1:13" x14ac:dyDescent="0.4">
      <c r="A32" s="86"/>
      <c r="B32" s="4">
        <v>7</v>
      </c>
      <c r="C32" s="3" t="s">
        <v>93</v>
      </c>
      <c r="D32" s="7">
        <v>3</v>
      </c>
      <c r="E32" s="17">
        <v>785268</v>
      </c>
      <c r="F32" s="47"/>
      <c r="G32" s="34"/>
      <c r="H32" s="24"/>
      <c r="I32" s="30"/>
      <c r="J32" s="44"/>
      <c r="K32" s="38"/>
      <c r="L32" s="84" t="s">
        <v>76</v>
      </c>
      <c r="M32" s="85"/>
    </row>
    <row r="33" spans="1:13" x14ac:dyDescent="0.4">
      <c r="A33" s="86"/>
      <c r="B33" s="4">
        <v>8</v>
      </c>
      <c r="C33" s="55" t="s">
        <v>94</v>
      </c>
      <c r="D33" s="56">
        <v>22</v>
      </c>
      <c r="E33" s="57">
        <v>134376</v>
      </c>
      <c r="F33" s="58" t="s">
        <v>88</v>
      </c>
      <c r="G33" s="55" t="s">
        <v>94</v>
      </c>
      <c r="H33" s="56">
        <v>22</v>
      </c>
      <c r="I33" s="57">
        <v>135538</v>
      </c>
      <c r="J33" s="59" t="b">
        <f t="shared" si="0"/>
        <v>1</v>
      </c>
      <c r="K33" s="60" t="b">
        <f t="shared" si="1"/>
        <v>0</v>
      </c>
      <c r="L33" s="61"/>
      <c r="M33" s="62" t="s">
        <v>186</v>
      </c>
    </row>
    <row r="34" spans="1:13" x14ac:dyDescent="0.4">
      <c r="A34" s="86"/>
      <c r="B34" s="4">
        <v>9</v>
      </c>
      <c r="C34" s="55" t="s">
        <v>95</v>
      </c>
      <c r="D34" s="56">
        <v>5</v>
      </c>
      <c r="E34" s="57">
        <v>267161</v>
      </c>
      <c r="F34" s="58" t="s">
        <v>88</v>
      </c>
      <c r="G34" s="55" t="s">
        <v>95</v>
      </c>
      <c r="H34" s="56">
        <v>5</v>
      </c>
      <c r="I34" s="57">
        <v>270251</v>
      </c>
      <c r="J34" s="59" t="b">
        <f t="shared" si="0"/>
        <v>1</v>
      </c>
      <c r="K34" s="60" t="b">
        <f t="shared" si="1"/>
        <v>0</v>
      </c>
      <c r="L34" s="61"/>
      <c r="M34" s="62" t="s">
        <v>186</v>
      </c>
    </row>
    <row r="35" spans="1:13" x14ac:dyDescent="0.4">
      <c r="A35" s="86"/>
      <c r="B35" s="4">
        <v>10</v>
      </c>
      <c r="C35" s="55" t="s">
        <v>96</v>
      </c>
      <c r="D35" s="56">
        <v>7</v>
      </c>
      <c r="E35" s="57">
        <v>30858</v>
      </c>
      <c r="F35" s="58" t="s">
        <v>88</v>
      </c>
      <c r="G35" s="55" t="s">
        <v>96</v>
      </c>
      <c r="H35" s="56">
        <v>7</v>
      </c>
      <c r="I35" s="57">
        <v>31030</v>
      </c>
      <c r="J35" s="59" t="b">
        <f t="shared" si="0"/>
        <v>1</v>
      </c>
      <c r="K35" s="60" t="b">
        <f t="shared" si="1"/>
        <v>0</v>
      </c>
      <c r="L35" s="61"/>
      <c r="M35" s="62" t="s">
        <v>187</v>
      </c>
    </row>
    <row r="36" spans="1:13" x14ac:dyDescent="0.4">
      <c r="A36" s="86"/>
      <c r="B36" s="4">
        <v>11</v>
      </c>
      <c r="C36" s="55" t="s">
        <v>97</v>
      </c>
      <c r="D36" s="56">
        <v>22</v>
      </c>
      <c r="E36" s="57">
        <v>27336</v>
      </c>
      <c r="F36" s="58" t="s">
        <v>98</v>
      </c>
      <c r="G36" s="55" t="s">
        <v>163</v>
      </c>
      <c r="H36" s="56">
        <v>24</v>
      </c>
      <c r="I36" s="57">
        <v>27591</v>
      </c>
      <c r="J36" s="59" t="b">
        <f t="shared" si="0"/>
        <v>0</v>
      </c>
      <c r="K36" s="60" t="b">
        <f t="shared" si="1"/>
        <v>0</v>
      </c>
      <c r="L36" s="61"/>
      <c r="M36" s="62" t="s">
        <v>166</v>
      </c>
    </row>
    <row r="37" spans="1:13" x14ac:dyDescent="0.4">
      <c r="A37" s="86"/>
      <c r="B37" s="4">
        <v>12</v>
      </c>
      <c r="C37" s="3" t="s">
        <v>99</v>
      </c>
      <c r="D37" s="7">
        <v>20</v>
      </c>
      <c r="E37" s="17">
        <v>94959</v>
      </c>
      <c r="F37" s="47"/>
      <c r="G37" s="34"/>
      <c r="H37" s="24"/>
      <c r="I37" s="30"/>
      <c r="J37" s="44"/>
      <c r="K37" s="38"/>
      <c r="L37" s="84" t="s">
        <v>109</v>
      </c>
      <c r="M37" s="85"/>
    </row>
    <row r="38" spans="1:13" x14ac:dyDescent="0.4">
      <c r="A38" s="86"/>
      <c r="B38" s="4">
        <v>13</v>
      </c>
      <c r="C38" s="3" t="s">
        <v>100</v>
      </c>
      <c r="D38" s="7">
        <v>4</v>
      </c>
      <c r="E38" s="17">
        <v>228</v>
      </c>
      <c r="F38" s="47"/>
      <c r="G38" s="34"/>
      <c r="H38" s="24"/>
      <c r="I38" s="30"/>
      <c r="J38" s="44"/>
      <c r="K38" s="38"/>
      <c r="L38" s="84" t="s">
        <v>76</v>
      </c>
      <c r="M38" s="85"/>
    </row>
    <row r="39" spans="1:13" x14ac:dyDescent="0.4">
      <c r="A39" s="86"/>
      <c r="B39" s="4">
        <v>14</v>
      </c>
      <c r="C39" s="3" t="s">
        <v>101</v>
      </c>
      <c r="D39" s="7">
        <v>17</v>
      </c>
      <c r="E39" s="17">
        <v>91891</v>
      </c>
      <c r="F39" s="47"/>
      <c r="G39" s="34"/>
      <c r="H39" s="24"/>
      <c r="I39" s="30"/>
      <c r="J39" s="44"/>
      <c r="K39" s="38"/>
      <c r="L39" s="84" t="s">
        <v>76</v>
      </c>
      <c r="M39" s="85"/>
    </row>
    <row r="40" spans="1:13" x14ac:dyDescent="0.4">
      <c r="A40" s="86"/>
      <c r="B40" s="4">
        <v>15</v>
      </c>
      <c r="C40" s="3" t="s">
        <v>102</v>
      </c>
      <c r="D40" s="7">
        <v>3</v>
      </c>
      <c r="E40" s="17">
        <v>487</v>
      </c>
      <c r="F40" s="47"/>
      <c r="G40" s="34"/>
      <c r="H40" s="24"/>
      <c r="I40" s="30"/>
      <c r="J40" s="44"/>
      <c r="K40" s="38"/>
      <c r="L40" s="84" t="s">
        <v>109</v>
      </c>
      <c r="M40" s="85"/>
    </row>
    <row r="41" spans="1:13" x14ac:dyDescent="0.4">
      <c r="A41" s="86" t="s">
        <v>104</v>
      </c>
      <c r="B41" s="4">
        <v>1</v>
      </c>
      <c r="C41" s="55" t="s">
        <v>44</v>
      </c>
      <c r="D41" s="56">
        <v>22</v>
      </c>
      <c r="E41" s="57">
        <v>958</v>
      </c>
      <c r="F41" s="58" t="s">
        <v>117</v>
      </c>
      <c r="G41" s="55" t="s">
        <v>103</v>
      </c>
      <c r="H41" s="56">
        <v>23</v>
      </c>
      <c r="I41" s="57">
        <v>1012</v>
      </c>
      <c r="J41" s="59" t="b">
        <f t="shared" si="0"/>
        <v>0</v>
      </c>
      <c r="K41" s="60" t="b">
        <f t="shared" si="1"/>
        <v>0</v>
      </c>
      <c r="L41" s="61"/>
      <c r="M41" s="62" t="s">
        <v>192</v>
      </c>
    </row>
    <row r="42" spans="1:13" x14ac:dyDescent="0.4">
      <c r="A42" s="86"/>
      <c r="B42" s="4">
        <v>2</v>
      </c>
      <c r="C42" s="3" t="s">
        <v>35</v>
      </c>
      <c r="D42" s="7">
        <v>12</v>
      </c>
      <c r="E42" s="17">
        <v>22098</v>
      </c>
      <c r="F42" s="48" t="s">
        <v>117</v>
      </c>
      <c r="G42" s="3" t="s">
        <v>56</v>
      </c>
      <c r="H42" s="7">
        <v>12</v>
      </c>
      <c r="I42" s="17">
        <v>22098</v>
      </c>
      <c r="J42" s="43" t="b">
        <f t="shared" si="0"/>
        <v>1</v>
      </c>
      <c r="K42" s="9" t="b">
        <f t="shared" si="1"/>
        <v>1</v>
      </c>
      <c r="L42" s="54"/>
      <c r="M42" s="53"/>
    </row>
    <row r="43" spans="1:13" x14ac:dyDescent="0.4">
      <c r="A43" s="86"/>
      <c r="B43" s="4">
        <v>3</v>
      </c>
      <c r="C43" s="3" t="s">
        <v>36</v>
      </c>
      <c r="D43" s="7">
        <v>29</v>
      </c>
      <c r="E43" s="17">
        <v>63928</v>
      </c>
      <c r="F43" s="48" t="s">
        <v>117</v>
      </c>
      <c r="G43" s="3" t="s">
        <v>57</v>
      </c>
      <c r="H43" s="7">
        <v>29</v>
      </c>
      <c r="I43" s="17">
        <v>63928</v>
      </c>
      <c r="J43" s="43" t="b">
        <f t="shared" si="0"/>
        <v>1</v>
      </c>
      <c r="K43" s="9" t="b">
        <f t="shared" si="1"/>
        <v>1</v>
      </c>
      <c r="L43" s="54"/>
      <c r="M43" s="53"/>
    </row>
    <row r="44" spans="1:13" x14ac:dyDescent="0.4">
      <c r="A44" s="86"/>
      <c r="B44" s="4">
        <v>4</v>
      </c>
      <c r="C44" s="3" t="s">
        <v>38</v>
      </c>
      <c r="D44" s="7">
        <v>27</v>
      </c>
      <c r="E44" s="17">
        <v>539</v>
      </c>
      <c r="F44" s="48" t="s">
        <v>117</v>
      </c>
      <c r="G44" s="3" t="s">
        <v>58</v>
      </c>
      <c r="H44" s="7">
        <v>27</v>
      </c>
      <c r="I44" s="17">
        <v>539</v>
      </c>
      <c r="J44" s="43" t="b">
        <f t="shared" si="0"/>
        <v>1</v>
      </c>
      <c r="K44" s="9" t="b">
        <f t="shared" si="1"/>
        <v>1</v>
      </c>
      <c r="L44" s="54"/>
      <c r="M44" s="53"/>
    </row>
    <row r="45" spans="1:13" x14ac:dyDescent="0.4">
      <c r="A45" s="86"/>
      <c r="B45" s="4">
        <v>5</v>
      </c>
      <c r="C45" s="3" t="s">
        <v>46</v>
      </c>
      <c r="D45" s="7">
        <v>26</v>
      </c>
      <c r="E45" s="17">
        <v>15083</v>
      </c>
      <c r="F45" s="48" t="s">
        <v>117</v>
      </c>
      <c r="G45" s="3" t="s">
        <v>16</v>
      </c>
      <c r="H45" s="7">
        <v>27</v>
      </c>
      <c r="I45" s="17">
        <v>15083</v>
      </c>
      <c r="J45" s="43" t="b">
        <f t="shared" si="0"/>
        <v>0</v>
      </c>
      <c r="K45" s="9" t="b">
        <f t="shared" si="1"/>
        <v>1</v>
      </c>
      <c r="L45" s="54"/>
      <c r="M45" s="53"/>
    </row>
    <row r="46" spans="1:13" x14ac:dyDescent="0.4">
      <c r="A46" s="86"/>
      <c r="B46" s="4">
        <v>6</v>
      </c>
      <c r="C46" s="55" t="s">
        <v>77</v>
      </c>
      <c r="D46" s="56">
        <v>65</v>
      </c>
      <c r="E46" s="57">
        <v>221839</v>
      </c>
      <c r="F46" s="58" t="s">
        <v>117</v>
      </c>
      <c r="G46" s="55" t="s">
        <v>158</v>
      </c>
      <c r="H46" s="56">
        <v>66</v>
      </c>
      <c r="I46" s="57">
        <v>221762</v>
      </c>
      <c r="J46" s="59" t="b">
        <f t="shared" si="0"/>
        <v>0</v>
      </c>
      <c r="K46" s="60" t="b">
        <f t="shared" si="1"/>
        <v>0</v>
      </c>
      <c r="L46" s="61"/>
      <c r="M46" s="62" t="s">
        <v>168</v>
      </c>
    </row>
    <row r="47" spans="1:13" x14ac:dyDescent="0.4">
      <c r="A47" s="86"/>
      <c r="B47" s="4">
        <v>7</v>
      </c>
      <c r="C47" s="55" t="s">
        <v>79</v>
      </c>
      <c r="D47" s="56">
        <v>5</v>
      </c>
      <c r="E47" s="57">
        <v>70096</v>
      </c>
      <c r="F47" s="58" t="s">
        <v>117</v>
      </c>
      <c r="G47" s="55" t="s">
        <v>159</v>
      </c>
      <c r="H47" s="56">
        <v>6</v>
      </c>
      <c r="I47" s="57">
        <v>70260</v>
      </c>
      <c r="J47" s="59" t="b">
        <f t="shared" si="0"/>
        <v>0</v>
      </c>
      <c r="K47" s="60" t="b">
        <f t="shared" si="1"/>
        <v>0</v>
      </c>
      <c r="L47" s="61"/>
      <c r="M47" s="62" t="s">
        <v>168</v>
      </c>
    </row>
    <row r="48" spans="1:13" x14ac:dyDescent="0.4">
      <c r="A48" s="86"/>
      <c r="B48" s="4">
        <v>8</v>
      </c>
      <c r="C48" s="55" t="s">
        <v>81</v>
      </c>
      <c r="D48" s="56">
        <v>23</v>
      </c>
      <c r="E48" s="57">
        <v>70729</v>
      </c>
      <c r="F48" s="58" t="s">
        <v>117</v>
      </c>
      <c r="G48" s="55" t="s">
        <v>82</v>
      </c>
      <c r="H48" s="56">
        <v>24</v>
      </c>
      <c r="I48" s="57">
        <v>70885</v>
      </c>
      <c r="J48" s="59" t="b">
        <f t="shared" si="0"/>
        <v>0</v>
      </c>
      <c r="K48" s="60" t="b">
        <f t="shared" si="1"/>
        <v>0</v>
      </c>
      <c r="L48" s="61"/>
      <c r="M48" s="62" t="s">
        <v>168</v>
      </c>
    </row>
    <row r="49" spans="1:13" x14ac:dyDescent="0.4">
      <c r="A49" s="86"/>
      <c r="B49" s="4">
        <v>9</v>
      </c>
      <c r="C49" s="55" t="s">
        <v>105</v>
      </c>
      <c r="D49" s="56">
        <v>15</v>
      </c>
      <c r="E49" s="57">
        <v>3297</v>
      </c>
      <c r="F49" s="58" t="s">
        <v>117</v>
      </c>
      <c r="G49" s="55" t="s">
        <v>107</v>
      </c>
      <c r="H49" s="56">
        <v>24</v>
      </c>
      <c r="I49" s="57">
        <v>10395</v>
      </c>
      <c r="J49" s="59" t="b">
        <f t="shared" si="0"/>
        <v>0</v>
      </c>
      <c r="K49" s="60" t="b">
        <f t="shared" si="1"/>
        <v>0</v>
      </c>
      <c r="L49" s="61"/>
      <c r="M49" s="62" t="s">
        <v>167</v>
      </c>
    </row>
    <row r="50" spans="1:13" x14ac:dyDescent="0.4">
      <c r="A50" s="86"/>
      <c r="B50" s="4">
        <v>10</v>
      </c>
      <c r="C50" s="3" t="s">
        <v>108</v>
      </c>
      <c r="D50" s="7">
        <v>16</v>
      </c>
      <c r="E50" s="17">
        <v>12895</v>
      </c>
      <c r="F50" s="47"/>
      <c r="G50" s="34"/>
      <c r="H50" s="24"/>
      <c r="I50" s="30"/>
      <c r="J50" s="44"/>
      <c r="K50" s="38"/>
      <c r="L50" s="84" t="s">
        <v>109</v>
      </c>
      <c r="M50" s="85"/>
    </row>
    <row r="51" spans="1:13" x14ac:dyDescent="0.4">
      <c r="A51" s="86"/>
      <c r="B51" s="4">
        <v>11</v>
      </c>
      <c r="C51" s="3" t="s">
        <v>83</v>
      </c>
      <c r="D51" s="7">
        <v>19</v>
      </c>
      <c r="E51" s="17">
        <v>168</v>
      </c>
      <c r="F51" s="47"/>
      <c r="G51" s="34"/>
      <c r="H51" s="24"/>
      <c r="I51" s="30"/>
      <c r="J51" s="44"/>
      <c r="K51" s="38"/>
      <c r="L51" s="84" t="s">
        <v>76</v>
      </c>
      <c r="M51" s="85"/>
    </row>
    <row r="52" spans="1:13" x14ac:dyDescent="0.4">
      <c r="A52" s="86"/>
      <c r="B52" s="4">
        <v>12</v>
      </c>
      <c r="C52" s="3" t="s">
        <v>47</v>
      </c>
      <c r="D52" s="7">
        <v>36</v>
      </c>
      <c r="E52" s="17">
        <v>6743</v>
      </c>
      <c r="F52" s="48" t="s">
        <v>117</v>
      </c>
      <c r="G52" s="3" t="s">
        <v>40</v>
      </c>
      <c r="H52" s="7">
        <v>36</v>
      </c>
      <c r="I52" s="17">
        <v>6743</v>
      </c>
      <c r="J52" s="43" t="b">
        <f t="shared" si="0"/>
        <v>1</v>
      </c>
      <c r="K52" s="9" t="b">
        <f t="shared" si="1"/>
        <v>1</v>
      </c>
      <c r="L52" s="54"/>
      <c r="M52" s="53"/>
    </row>
    <row r="53" spans="1:13" x14ac:dyDescent="0.4">
      <c r="A53" s="86"/>
      <c r="B53" s="4">
        <v>13</v>
      </c>
      <c r="C53" s="55" t="s">
        <v>48</v>
      </c>
      <c r="D53" s="56">
        <v>21</v>
      </c>
      <c r="E53" s="57">
        <v>804</v>
      </c>
      <c r="F53" s="58" t="s">
        <v>117</v>
      </c>
      <c r="G53" s="55" t="s">
        <v>41</v>
      </c>
      <c r="H53" s="56">
        <v>22</v>
      </c>
      <c r="I53" s="57">
        <v>833</v>
      </c>
      <c r="J53" s="59" t="b">
        <f t="shared" si="0"/>
        <v>0</v>
      </c>
      <c r="K53" s="60" t="b">
        <f t="shared" si="1"/>
        <v>0</v>
      </c>
      <c r="L53" s="61"/>
      <c r="M53" s="62" t="s">
        <v>192</v>
      </c>
    </row>
    <row r="54" spans="1:13" x14ac:dyDescent="0.4">
      <c r="A54" s="86"/>
      <c r="B54" s="4">
        <v>14</v>
      </c>
      <c r="C54" s="3" t="s">
        <v>49</v>
      </c>
      <c r="D54" s="7">
        <v>60</v>
      </c>
      <c r="E54" s="17">
        <v>539</v>
      </c>
      <c r="F54" s="48" t="s">
        <v>117</v>
      </c>
      <c r="G54" s="3" t="s">
        <v>19</v>
      </c>
      <c r="H54" s="7">
        <v>60</v>
      </c>
      <c r="I54" s="17">
        <v>539</v>
      </c>
      <c r="J54" s="43" t="b">
        <f t="shared" si="0"/>
        <v>1</v>
      </c>
      <c r="K54" s="9" t="b">
        <f t="shared" si="1"/>
        <v>1</v>
      </c>
      <c r="L54" s="54"/>
      <c r="M54" s="53"/>
    </row>
    <row r="55" spans="1:13" x14ac:dyDescent="0.4">
      <c r="A55" s="86"/>
      <c r="B55" s="4">
        <v>15</v>
      </c>
      <c r="C55" s="3" t="s">
        <v>102</v>
      </c>
      <c r="D55" s="7">
        <v>3</v>
      </c>
      <c r="E55" s="17">
        <v>284</v>
      </c>
      <c r="F55" s="47"/>
      <c r="G55" s="34"/>
      <c r="H55" s="24"/>
      <c r="I55" s="30"/>
      <c r="J55" s="44"/>
      <c r="K55" s="38"/>
      <c r="L55" s="84" t="s">
        <v>182</v>
      </c>
      <c r="M55" s="85"/>
    </row>
    <row r="56" spans="1:13" x14ac:dyDescent="0.4">
      <c r="A56" s="86"/>
      <c r="B56" s="4">
        <v>16</v>
      </c>
      <c r="C56" s="3" t="s">
        <v>72</v>
      </c>
      <c r="D56" s="7">
        <v>7</v>
      </c>
      <c r="E56" s="17">
        <v>210</v>
      </c>
      <c r="F56" s="47"/>
      <c r="G56" s="34"/>
      <c r="H56" s="24"/>
      <c r="I56" s="30"/>
      <c r="J56" s="44"/>
      <c r="K56" s="38"/>
      <c r="L56" s="84" t="s">
        <v>182</v>
      </c>
      <c r="M56" s="85"/>
    </row>
    <row r="57" spans="1:13" x14ac:dyDescent="0.4">
      <c r="A57" s="86"/>
      <c r="B57" s="4">
        <v>17</v>
      </c>
      <c r="C57" s="3" t="s">
        <v>50</v>
      </c>
      <c r="D57" s="7">
        <v>29</v>
      </c>
      <c r="E57" s="17">
        <v>11</v>
      </c>
      <c r="F57" s="48" t="s">
        <v>117</v>
      </c>
      <c r="G57" s="3" t="s">
        <v>20</v>
      </c>
      <c r="H57" s="7">
        <v>30</v>
      </c>
      <c r="I57" s="17">
        <v>11</v>
      </c>
      <c r="J57" s="43" t="b">
        <f t="shared" si="0"/>
        <v>0</v>
      </c>
      <c r="K57" s="9" t="b">
        <f t="shared" si="1"/>
        <v>1</v>
      </c>
      <c r="L57" s="54"/>
      <c r="M57" s="53"/>
    </row>
    <row r="58" spans="1:13" x14ac:dyDescent="0.4">
      <c r="A58" s="97" t="s">
        <v>114</v>
      </c>
      <c r="B58" s="10">
        <v>1</v>
      </c>
      <c r="C58" s="60" t="s">
        <v>110</v>
      </c>
      <c r="D58" s="67">
        <v>11</v>
      </c>
      <c r="E58" s="68">
        <v>8651</v>
      </c>
      <c r="F58" s="69" t="s">
        <v>116</v>
      </c>
      <c r="G58" s="60" t="s">
        <v>86</v>
      </c>
      <c r="H58" s="67">
        <v>11</v>
      </c>
      <c r="I58" s="68">
        <v>8647</v>
      </c>
      <c r="J58" s="59" t="b">
        <f t="shared" si="0"/>
        <v>1</v>
      </c>
      <c r="K58" s="60" t="b">
        <f t="shared" si="1"/>
        <v>0</v>
      </c>
      <c r="L58" s="61"/>
      <c r="M58" s="62" t="s">
        <v>169</v>
      </c>
    </row>
    <row r="59" spans="1:13" x14ac:dyDescent="0.4">
      <c r="A59" s="97"/>
      <c r="B59" s="10">
        <v>2</v>
      </c>
      <c r="C59" s="60" t="s">
        <v>111</v>
      </c>
      <c r="D59" s="67">
        <v>25</v>
      </c>
      <c r="E59" s="68">
        <v>263107</v>
      </c>
      <c r="F59" s="69" t="s">
        <v>116</v>
      </c>
      <c r="G59" s="60" t="s">
        <v>89</v>
      </c>
      <c r="H59" s="67">
        <v>25</v>
      </c>
      <c r="I59" s="68">
        <v>262993</v>
      </c>
      <c r="J59" s="59" t="b">
        <f t="shared" si="0"/>
        <v>1</v>
      </c>
      <c r="K59" s="60" t="b">
        <f t="shared" si="1"/>
        <v>0</v>
      </c>
      <c r="L59" s="61"/>
      <c r="M59" s="62" t="s">
        <v>170</v>
      </c>
    </row>
    <row r="60" spans="1:13" x14ac:dyDescent="0.4">
      <c r="A60" s="97"/>
      <c r="B60" s="10">
        <v>3</v>
      </c>
      <c r="C60" s="60" t="s">
        <v>112</v>
      </c>
      <c r="D60" s="67">
        <v>6</v>
      </c>
      <c r="E60" s="68">
        <v>8362</v>
      </c>
      <c r="F60" s="69" t="s">
        <v>116</v>
      </c>
      <c r="G60" s="60" t="s">
        <v>90</v>
      </c>
      <c r="H60" s="67">
        <v>6</v>
      </c>
      <c r="I60" s="68">
        <v>10395</v>
      </c>
      <c r="J60" s="59" t="b">
        <f t="shared" si="0"/>
        <v>1</v>
      </c>
      <c r="K60" s="60" t="b">
        <f t="shared" si="1"/>
        <v>0</v>
      </c>
      <c r="L60" s="61"/>
      <c r="M60" s="62" t="s">
        <v>171</v>
      </c>
    </row>
    <row r="61" spans="1:13" x14ac:dyDescent="0.4">
      <c r="A61" s="97"/>
      <c r="B61" s="10">
        <v>4</v>
      </c>
      <c r="C61" s="60" t="s">
        <v>91</v>
      </c>
      <c r="D61" s="67">
        <v>5</v>
      </c>
      <c r="E61" s="68">
        <v>6978</v>
      </c>
      <c r="F61" s="69" t="s">
        <v>116</v>
      </c>
      <c r="G61" s="60" t="s">
        <v>91</v>
      </c>
      <c r="H61" s="67">
        <v>6</v>
      </c>
      <c r="I61" s="68">
        <v>6981</v>
      </c>
      <c r="J61" s="59" t="b">
        <f t="shared" si="0"/>
        <v>0</v>
      </c>
      <c r="K61" s="60" t="b">
        <f t="shared" si="1"/>
        <v>0</v>
      </c>
      <c r="L61" s="61"/>
      <c r="M61" s="62" t="s">
        <v>172</v>
      </c>
    </row>
    <row r="62" spans="1:13" x14ac:dyDescent="0.4">
      <c r="A62" s="97"/>
      <c r="B62" s="10">
        <v>5</v>
      </c>
      <c r="C62" s="60" t="s">
        <v>113</v>
      </c>
      <c r="D62" s="67">
        <v>7</v>
      </c>
      <c r="E62" s="68">
        <v>4506413</v>
      </c>
      <c r="F62" s="69" t="s">
        <v>116</v>
      </c>
      <c r="G62" s="60" t="s">
        <v>92</v>
      </c>
      <c r="H62" s="67">
        <v>7</v>
      </c>
      <c r="I62" s="68">
        <v>4504260</v>
      </c>
      <c r="J62" s="59" t="b">
        <f t="shared" si="0"/>
        <v>1</v>
      </c>
      <c r="K62" s="60" t="b">
        <f t="shared" si="1"/>
        <v>0</v>
      </c>
      <c r="L62" s="61"/>
      <c r="M62" s="62" t="s">
        <v>188</v>
      </c>
    </row>
    <row r="63" spans="1:13" x14ac:dyDescent="0.4">
      <c r="A63" s="97"/>
      <c r="B63" s="10">
        <v>6</v>
      </c>
      <c r="C63" s="60" t="s">
        <v>118</v>
      </c>
      <c r="D63" s="67">
        <v>22</v>
      </c>
      <c r="E63" s="68">
        <v>75646</v>
      </c>
      <c r="F63" s="69" t="s">
        <v>116</v>
      </c>
      <c r="G63" s="60" t="s">
        <v>94</v>
      </c>
      <c r="H63" s="67">
        <v>22</v>
      </c>
      <c r="I63" s="68">
        <v>75609</v>
      </c>
      <c r="J63" s="59" t="b">
        <f t="shared" si="0"/>
        <v>1</v>
      </c>
      <c r="K63" s="60" t="b">
        <f t="shared" si="1"/>
        <v>0</v>
      </c>
      <c r="L63" s="61"/>
      <c r="M63" s="62" t="s">
        <v>170</v>
      </c>
    </row>
    <row r="64" spans="1:13" x14ac:dyDescent="0.4">
      <c r="A64" s="97"/>
      <c r="B64" s="10">
        <v>7</v>
      </c>
      <c r="C64" s="60" t="s">
        <v>119</v>
      </c>
      <c r="D64" s="67">
        <v>5</v>
      </c>
      <c r="E64" s="68">
        <v>147846</v>
      </c>
      <c r="F64" s="69" t="s">
        <v>116</v>
      </c>
      <c r="G64" s="60" t="s">
        <v>95</v>
      </c>
      <c r="H64" s="67">
        <v>5</v>
      </c>
      <c r="I64" s="68">
        <v>147778</v>
      </c>
      <c r="J64" s="59" t="b">
        <f t="shared" si="0"/>
        <v>1</v>
      </c>
      <c r="K64" s="60" t="b">
        <f t="shared" si="1"/>
        <v>0</v>
      </c>
      <c r="L64" s="61"/>
      <c r="M64" s="62" t="s">
        <v>173</v>
      </c>
    </row>
    <row r="65" spans="1:13" x14ac:dyDescent="0.4">
      <c r="A65" s="97"/>
      <c r="B65" s="10">
        <v>8</v>
      </c>
      <c r="C65" s="60" t="s">
        <v>120</v>
      </c>
      <c r="D65" s="67">
        <v>7</v>
      </c>
      <c r="E65" s="68">
        <v>17302</v>
      </c>
      <c r="F65" s="69" t="s">
        <v>116</v>
      </c>
      <c r="G65" s="60" t="s">
        <v>96</v>
      </c>
      <c r="H65" s="67">
        <v>7</v>
      </c>
      <c r="I65" s="68">
        <v>17300</v>
      </c>
      <c r="J65" s="59" t="b">
        <f t="shared" si="0"/>
        <v>1</v>
      </c>
      <c r="K65" s="60" t="b">
        <f t="shared" si="1"/>
        <v>0</v>
      </c>
      <c r="L65" s="61"/>
      <c r="M65" s="62" t="s">
        <v>174</v>
      </c>
    </row>
    <row r="66" spans="1:13" x14ac:dyDescent="0.4">
      <c r="A66" s="97" t="s">
        <v>121</v>
      </c>
      <c r="B66" s="10">
        <v>1</v>
      </c>
      <c r="C66" s="9" t="s">
        <v>44</v>
      </c>
      <c r="D66" s="12">
        <v>22</v>
      </c>
      <c r="E66" s="45">
        <v>144</v>
      </c>
      <c r="F66" s="49" t="s">
        <v>122</v>
      </c>
      <c r="G66" s="9" t="s">
        <v>103</v>
      </c>
      <c r="H66" s="12">
        <v>23</v>
      </c>
      <c r="I66" s="45">
        <v>144</v>
      </c>
      <c r="J66" s="43" t="b">
        <f t="shared" si="0"/>
        <v>0</v>
      </c>
      <c r="K66" s="9" t="b">
        <f t="shared" si="1"/>
        <v>1</v>
      </c>
      <c r="L66" s="54"/>
      <c r="M66" s="53"/>
    </row>
    <row r="67" spans="1:13" x14ac:dyDescent="0.4">
      <c r="A67" s="97"/>
      <c r="B67" s="10">
        <v>2</v>
      </c>
      <c r="C67" s="9" t="s">
        <v>35</v>
      </c>
      <c r="D67" s="12">
        <v>12</v>
      </c>
      <c r="E67" s="45">
        <v>346</v>
      </c>
      <c r="F67" s="49" t="s">
        <v>122</v>
      </c>
      <c r="G67" s="9" t="s">
        <v>56</v>
      </c>
      <c r="H67" s="12">
        <v>12</v>
      </c>
      <c r="I67" s="45">
        <v>346</v>
      </c>
      <c r="J67" s="43" t="b">
        <f t="shared" si="0"/>
        <v>1</v>
      </c>
      <c r="K67" s="9" t="b">
        <f t="shared" si="1"/>
        <v>1</v>
      </c>
      <c r="L67" s="54"/>
      <c r="M67" s="53"/>
    </row>
    <row r="68" spans="1:13" x14ac:dyDescent="0.4">
      <c r="A68" s="97"/>
      <c r="B68" s="10">
        <v>3</v>
      </c>
      <c r="C68" s="9" t="s">
        <v>36</v>
      </c>
      <c r="D68" s="12">
        <v>29</v>
      </c>
      <c r="E68" s="45">
        <v>954</v>
      </c>
      <c r="F68" s="49" t="s">
        <v>122</v>
      </c>
      <c r="G68" s="9" t="s">
        <v>57</v>
      </c>
      <c r="H68" s="12">
        <v>29</v>
      </c>
      <c r="I68" s="45">
        <v>954</v>
      </c>
      <c r="J68" s="43" t="b">
        <f t="shared" ref="J68:J88" si="2">D68=H68</f>
        <v>1</v>
      </c>
      <c r="K68" s="9" t="b">
        <f t="shared" ref="K68:K88" si="3">E68=I68</f>
        <v>1</v>
      </c>
      <c r="L68" s="54"/>
      <c r="M68" s="53"/>
    </row>
    <row r="69" spans="1:13" x14ac:dyDescent="0.4">
      <c r="A69" s="97"/>
      <c r="B69" s="10">
        <v>4</v>
      </c>
      <c r="C69" s="9" t="s">
        <v>38</v>
      </c>
      <c r="D69" s="12">
        <v>27</v>
      </c>
      <c r="E69" s="45">
        <v>9</v>
      </c>
      <c r="F69" s="49" t="s">
        <v>122</v>
      </c>
      <c r="G69" s="9" t="s">
        <v>58</v>
      </c>
      <c r="H69" s="12">
        <v>27</v>
      </c>
      <c r="I69" s="45">
        <v>9</v>
      </c>
      <c r="J69" s="43" t="b">
        <f t="shared" si="2"/>
        <v>1</v>
      </c>
      <c r="K69" s="9" t="b">
        <f t="shared" si="3"/>
        <v>1</v>
      </c>
      <c r="L69" s="54"/>
      <c r="M69" s="53"/>
    </row>
    <row r="70" spans="1:13" x14ac:dyDescent="0.4">
      <c r="A70" s="97"/>
      <c r="B70" s="10">
        <v>5</v>
      </c>
      <c r="C70" s="9" t="s">
        <v>46</v>
      </c>
      <c r="D70" s="12">
        <v>26</v>
      </c>
      <c r="E70" s="45">
        <v>246</v>
      </c>
      <c r="F70" s="49" t="s">
        <v>122</v>
      </c>
      <c r="G70" s="9" t="s">
        <v>16</v>
      </c>
      <c r="H70" s="12">
        <v>27</v>
      </c>
      <c r="I70" s="45">
        <v>246</v>
      </c>
      <c r="J70" s="43" t="b">
        <f t="shared" si="2"/>
        <v>0</v>
      </c>
      <c r="K70" s="9" t="b">
        <f t="shared" si="3"/>
        <v>1</v>
      </c>
      <c r="L70" s="54"/>
      <c r="M70" s="53"/>
    </row>
    <row r="71" spans="1:13" x14ac:dyDescent="0.4">
      <c r="A71" s="97"/>
      <c r="B71" s="10">
        <v>6</v>
      </c>
      <c r="C71" s="9" t="s">
        <v>77</v>
      </c>
      <c r="D71" s="12">
        <v>65</v>
      </c>
      <c r="E71" s="45">
        <v>3303</v>
      </c>
      <c r="F71" s="49" t="s">
        <v>122</v>
      </c>
      <c r="G71" s="9" t="s">
        <v>78</v>
      </c>
      <c r="H71" s="12">
        <v>66</v>
      </c>
      <c r="I71" s="45">
        <v>3303</v>
      </c>
      <c r="J71" s="43" t="b">
        <f t="shared" si="2"/>
        <v>0</v>
      </c>
      <c r="K71" s="9" t="b">
        <f t="shared" si="3"/>
        <v>1</v>
      </c>
      <c r="L71" s="54"/>
      <c r="M71" s="53"/>
    </row>
    <row r="72" spans="1:13" x14ac:dyDescent="0.4">
      <c r="A72" s="97"/>
      <c r="B72" s="10">
        <v>7</v>
      </c>
      <c r="C72" s="9" t="s">
        <v>79</v>
      </c>
      <c r="D72" s="12">
        <v>5</v>
      </c>
      <c r="E72" s="45">
        <v>1119</v>
      </c>
      <c r="F72" s="49" t="s">
        <v>122</v>
      </c>
      <c r="G72" s="9" t="s">
        <v>80</v>
      </c>
      <c r="H72" s="12">
        <v>6</v>
      </c>
      <c r="I72" s="45">
        <v>1119</v>
      </c>
      <c r="J72" s="43" t="b">
        <f t="shared" si="2"/>
        <v>0</v>
      </c>
      <c r="K72" s="9" t="b">
        <f t="shared" si="3"/>
        <v>1</v>
      </c>
      <c r="L72" s="54"/>
      <c r="M72" s="53"/>
    </row>
    <row r="73" spans="1:13" x14ac:dyDescent="0.4">
      <c r="A73" s="97"/>
      <c r="B73" s="10">
        <v>8</v>
      </c>
      <c r="C73" s="60" t="s">
        <v>81</v>
      </c>
      <c r="D73" s="67">
        <v>23</v>
      </c>
      <c r="E73" s="68">
        <v>1099</v>
      </c>
      <c r="F73" s="69" t="s">
        <v>122</v>
      </c>
      <c r="G73" s="60" t="s">
        <v>160</v>
      </c>
      <c r="H73" s="67">
        <v>24</v>
      </c>
      <c r="I73" s="68">
        <v>1205</v>
      </c>
      <c r="J73" s="59" t="b">
        <f t="shared" si="2"/>
        <v>0</v>
      </c>
      <c r="K73" s="60" t="b">
        <f t="shared" si="3"/>
        <v>0</v>
      </c>
      <c r="L73" s="61"/>
      <c r="M73" s="62" t="s">
        <v>193</v>
      </c>
    </row>
    <row r="74" spans="1:13" x14ac:dyDescent="0.4">
      <c r="A74" s="97"/>
      <c r="B74" s="10">
        <v>9</v>
      </c>
      <c r="C74" s="9" t="s">
        <v>105</v>
      </c>
      <c r="D74" s="12">
        <v>15</v>
      </c>
      <c r="E74" s="45">
        <v>146</v>
      </c>
      <c r="F74" s="49" t="s">
        <v>52</v>
      </c>
      <c r="G74" s="9" t="s">
        <v>106</v>
      </c>
      <c r="H74" s="12">
        <v>14</v>
      </c>
      <c r="I74" s="45">
        <v>146</v>
      </c>
      <c r="J74" s="43" t="b">
        <f t="shared" si="2"/>
        <v>0</v>
      </c>
      <c r="K74" s="9" t="b">
        <f t="shared" si="3"/>
        <v>1</v>
      </c>
      <c r="L74" s="54"/>
      <c r="M74" s="53"/>
    </row>
    <row r="75" spans="1:13" x14ac:dyDescent="0.4">
      <c r="A75" s="97"/>
      <c r="B75" s="10">
        <v>10</v>
      </c>
      <c r="C75" s="9" t="s">
        <v>108</v>
      </c>
      <c r="D75" s="12">
        <v>16</v>
      </c>
      <c r="E75" s="45">
        <v>8249</v>
      </c>
      <c r="F75" s="47"/>
      <c r="G75" s="34"/>
      <c r="H75" s="24"/>
      <c r="I75" s="30"/>
      <c r="J75" s="44"/>
      <c r="K75" s="38"/>
      <c r="L75" s="84" t="s">
        <v>182</v>
      </c>
      <c r="M75" s="85"/>
    </row>
    <row r="76" spans="1:13" x14ac:dyDescent="0.4">
      <c r="A76" s="97"/>
      <c r="B76" s="10">
        <v>11</v>
      </c>
      <c r="C76" s="9" t="s">
        <v>47</v>
      </c>
      <c r="D76" s="12">
        <v>36</v>
      </c>
      <c r="E76" s="45">
        <v>103</v>
      </c>
      <c r="F76" s="49" t="s">
        <v>122</v>
      </c>
      <c r="G76" s="9" t="s">
        <v>17</v>
      </c>
      <c r="H76" s="12">
        <v>36</v>
      </c>
      <c r="I76" s="45">
        <v>103</v>
      </c>
      <c r="J76" s="43" t="b">
        <f t="shared" si="2"/>
        <v>1</v>
      </c>
      <c r="K76" s="9" t="b">
        <f t="shared" si="3"/>
        <v>1</v>
      </c>
      <c r="L76" s="54"/>
      <c r="M76" s="53"/>
    </row>
    <row r="77" spans="1:13" x14ac:dyDescent="0.4">
      <c r="A77" s="97"/>
      <c r="B77" s="10">
        <v>12</v>
      </c>
      <c r="C77" s="9" t="s">
        <v>48</v>
      </c>
      <c r="D77" s="12">
        <v>21</v>
      </c>
      <c r="E77" s="45">
        <v>116</v>
      </c>
      <c r="F77" s="49" t="s">
        <v>122</v>
      </c>
      <c r="G77" s="9" t="s">
        <v>18</v>
      </c>
      <c r="H77" s="12">
        <v>22</v>
      </c>
      <c r="I77" s="45">
        <v>116</v>
      </c>
      <c r="J77" s="43" t="b">
        <f t="shared" si="2"/>
        <v>0</v>
      </c>
      <c r="K77" s="9" t="b">
        <f t="shared" si="3"/>
        <v>1</v>
      </c>
      <c r="L77" s="54"/>
      <c r="M77" s="53"/>
    </row>
    <row r="78" spans="1:13" x14ac:dyDescent="0.4">
      <c r="A78" s="97"/>
      <c r="B78" s="10">
        <v>13</v>
      </c>
      <c r="C78" s="9" t="s">
        <v>49</v>
      </c>
      <c r="D78" s="12">
        <v>60</v>
      </c>
      <c r="E78" s="45">
        <v>9</v>
      </c>
      <c r="F78" s="49" t="s">
        <v>122</v>
      </c>
      <c r="G78" s="9" t="s">
        <v>19</v>
      </c>
      <c r="H78" s="12">
        <v>60</v>
      </c>
      <c r="I78" s="45">
        <v>9</v>
      </c>
      <c r="J78" s="43" t="b">
        <f t="shared" si="2"/>
        <v>1</v>
      </c>
      <c r="K78" s="9" t="b">
        <f t="shared" si="3"/>
        <v>1</v>
      </c>
      <c r="L78" s="54"/>
      <c r="M78" s="53"/>
    </row>
    <row r="79" spans="1:13" x14ac:dyDescent="0.4">
      <c r="A79" s="97"/>
      <c r="B79" s="10">
        <v>14</v>
      </c>
      <c r="C79" s="9" t="s">
        <v>72</v>
      </c>
      <c r="D79" s="12">
        <v>7</v>
      </c>
      <c r="E79" s="45">
        <v>178</v>
      </c>
      <c r="F79" s="50"/>
      <c r="G79" s="38"/>
      <c r="H79" s="39"/>
      <c r="I79" s="51"/>
      <c r="J79" s="44"/>
      <c r="K79" s="38"/>
      <c r="L79" s="84" t="s">
        <v>182</v>
      </c>
      <c r="M79" s="85"/>
    </row>
    <row r="80" spans="1:13" x14ac:dyDescent="0.4">
      <c r="A80" s="97"/>
      <c r="B80" s="10">
        <v>15</v>
      </c>
      <c r="C80" s="9" t="s">
        <v>50</v>
      </c>
      <c r="D80" s="12">
        <v>29</v>
      </c>
      <c r="E80" s="45">
        <v>4</v>
      </c>
      <c r="F80" s="49" t="s">
        <v>122</v>
      </c>
      <c r="G80" s="9" t="s">
        <v>20</v>
      </c>
      <c r="H80" s="12">
        <v>30</v>
      </c>
      <c r="I80" s="45">
        <v>4</v>
      </c>
      <c r="J80" s="43" t="b">
        <f t="shared" si="2"/>
        <v>0</v>
      </c>
      <c r="K80" s="9" t="b">
        <f t="shared" si="3"/>
        <v>1</v>
      </c>
      <c r="L80" s="54"/>
      <c r="M80" s="53"/>
    </row>
    <row r="81" spans="1:13" x14ac:dyDescent="0.4">
      <c r="A81" s="97" t="s">
        <v>123</v>
      </c>
      <c r="B81" s="10">
        <v>1</v>
      </c>
      <c r="C81" s="60" t="s">
        <v>110</v>
      </c>
      <c r="D81" s="67">
        <v>11</v>
      </c>
      <c r="E81" s="68">
        <v>16</v>
      </c>
      <c r="F81" s="69" t="s">
        <v>125</v>
      </c>
      <c r="G81" s="60" t="s">
        <v>86</v>
      </c>
      <c r="H81" s="67">
        <v>11</v>
      </c>
      <c r="I81" s="68">
        <v>129</v>
      </c>
      <c r="J81" s="59" t="b">
        <f t="shared" si="2"/>
        <v>1</v>
      </c>
      <c r="K81" s="60" t="b">
        <f t="shared" si="3"/>
        <v>0</v>
      </c>
      <c r="L81" s="61"/>
      <c r="M81" s="62" t="s">
        <v>194</v>
      </c>
    </row>
    <row r="82" spans="1:13" x14ac:dyDescent="0.4">
      <c r="A82" s="97"/>
      <c r="B82" s="10">
        <v>2</v>
      </c>
      <c r="C82" s="60" t="s">
        <v>111</v>
      </c>
      <c r="D82" s="67">
        <v>25</v>
      </c>
      <c r="E82" s="68">
        <v>449</v>
      </c>
      <c r="F82" s="69" t="s">
        <v>124</v>
      </c>
      <c r="G82" s="60" t="s">
        <v>89</v>
      </c>
      <c r="H82" s="67">
        <v>25</v>
      </c>
      <c r="I82" s="68">
        <v>3637</v>
      </c>
      <c r="J82" s="59" t="b">
        <f t="shared" si="2"/>
        <v>1</v>
      </c>
      <c r="K82" s="60" t="b">
        <f t="shared" si="3"/>
        <v>0</v>
      </c>
      <c r="L82" s="61"/>
      <c r="M82" s="62" t="s">
        <v>194</v>
      </c>
    </row>
    <row r="83" spans="1:13" x14ac:dyDescent="0.4">
      <c r="A83" s="97"/>
      <c r="B83" s="10">
        <v>3</v>
      </c>
      <c r="C83" s="60" t="s">
        <v>112</v>
      </c>
      <c r="D83" s="67">
        <v>6</v>
      </c>
      <c r="E83" s="68">
        <v>0</v>
      </c>
      <c r="F83" s="69" t="s">
        <v>124</v>
      </c>
      <c r="G83" s="60" t="s">
        <v>23</v>
      </c>
      <c r="H83" s="67">
        <v>6</v>
      </c>
      <c r="I83" s="68">
        <v>106</v>
      </c>
      <c r="J83" s="59" t="b">
        <f t="shared" si="2"/>
        <v>1</v>
      </c>
      <c r="K83" s="60" t="b">
        <f t="shared" si="3"/>
        <v>0</v>
      </c>
      <c r="L83" s="61"/>
      <c r="M83" s="62" t="s">
        <v>194</v>
      </c>
    </row>
    <row r="84" spans="1:13" x14ac:dyDescent="0.4">
      <c r="A84" s="97"/>
      <c r="B84" s="10">
        <v>4</v>
      </c>
      <c r="C84" s="60" t="s">
        <v>91</v>
      </c>
      <c r="D84" s="67">
        <v>5</v>
      </c>
      <c r="E84" s="68">
        <v>16</v>
      </c>
      <c r="F84" s="69" t="s">
        <v>124</v>
      </c>
      <c r="G84" s="60" t="s">
        <v>24</v>
      </c>
      <c r="H84" s="67">
        <v>6</v>
      </c>
      <c r="I84" s="68">
        <v>112</v>
      </c>
      <c r="J84" s="59" t="b">
        <f t="shared" si="2"/>
        <v>0</v>
      </c>
      <c r="K84" s="60" t="b">
        <f t="shared" si="3"/>
        <v>0</v>
      </c>
      <c r="L84" s="61"/>
      <c r="M84" s="62" t="s">
        <v>194</v>
      </c>
    </row>
    <row r="85" spans="1:13" x14ac:dyDescent="0.4">
      <c r="A85" s="97"/>
      <c r="B85" s="10">
        <v>5</v>
      </c>
      <c r="C85" s="60" t="s">
        <v>113</v>
      </c>
      <c r="D85" s="67">
        <v>7</v>
      </c>
      <c r="E85" s="68">
        <v>7813</v>
      </c>
      <c r="F85" s="69" t="s">
        <v>124</v>
      </c>
      <c r="G85" s="60" t="s">
        <v>25</v>
      </c>
      <c r="H85" s="67">
        <v>7</v>
      </c>
      <c r="I85" s="68">
        <v>63391</v>
      </c>
      <c r="J85" s="59" t="b">
        <f t="shared" si="2"/>
        <v>1</v>
      </c>
      <c r="K85" s="60" t="b">
        <f t="shared" si="3"/>
        <v>0</v>
      </c>
      <c r="L85" s="61"/>
      <c r="M85" s="62" t="s">
        <v>194</v>
      </c>
    </row>
    <row r="86" spans="1:13" x14ac:dyDescent="0.4">
      <c r="A86" s="97"/>
      <c r="B86" s="10">
        <v>6</v>
      </c>
      <c r="C86" s="60" t="s">
        <v>118</v>
      </c>
      <c r="D86" s="67">
        <v>22</v>
      </c>
      <c r="E86" s="68">
        <v>141</v>
      </c>
      <c r="F86" s="69" t="s">
        <v>124</v>
      </c>
      <c r="G86" s="60" t="s">
        <v>26</v>
      </c>
      <c r="H86" s="67">
        <v>22</v>
      </c>
      <c r="I86" s="68">
        <v>1025</v>
      </c>
      <c r="J86" s="59" t="b">
        <f t="shared" si="2"/>
        <v>1</v>
      </c>
      <c r="K86" s="60" t="b">
        <f t="shared" si="3"/>
        <v>0</v>
      </c>
      <c r="L86" s="61"/>
      <c r="M86" s="62" t="s">
        <v>194</v>
      </c>
    </row>
    <row r="87" spans="1:13" x14ac:dyDescent="0.4">
      <c r="A87" s="97"/>
      <c r="B87" s="10">
        <v>7</v>
      </c>
      <c r="C87" s="60" t="s">
        <v>119</v>
      </c>
      <c r="D87" s="67">
        <v>5</v>
      </c>
      <c r="E87" s="68">
        <v>279</v>
      </c>
      <c r="F87" s="69" t="s">
        <v>124</v>
      </c>
      <c r="G87" s="60" t="s">
        <v>27</v>
      </c>
      <c r="H87" s="67">
        <v>5</v>
      </c>
      <c r="I87" s="68">
        <v>2204</v>
      </c>
      <c r="J87" s="59" t="b">
        <f t="shared" si="2"/>
        <v>1</v>
      </c>
      <c r="K87" s="60" t="b">
        <f t="shared" si="3"/>
        <v>0</v>
      </c>
      <c r="L87" s="61"/>
      <c r="M87" s="62" t="s">
        <v>194</v>
      </c>
    </row>
    <row r="88" spans="1:13" ht="16.2" thickBot="1" x14ac:dyDescent="0.45">
      <c r="A88" s="98"/>
      <c r="B88" s="40">
        <v>8</v>
      </c>
      <c r="C88" s="70" t="s">
        <v>120</v>
      </c>
      <c r="D88" s="71">
        <v>7</v>
      </c>
      <c r="E88" s="72">
        <v>32</v>
      </c>
      <c r="F88" s="73" t="s">
        <v>124</v>
      </c>
      <c r="G88" s="70" t="s">
        <v>96</v>
      </c>
      <c r="H88" s="71">
        <v>7</v>
      </c>
      <c r="I88" s="72">
        <v>258</v>
      </c>
      <c r="J88" s="74" t="b">
        <f t="shared" si="2"/>
        <v>1</v>
      </c>
      <c r="K88" s="70" t="b">
        <f t="shared" si="3"/>
        <v>0</v>
      </c>
      <c r="L88" s="75"/>
      <c r="M88" s="76" t="s">
        <v>194</v>
      </c>
    </row>
  </sheetData>
  <mergeCells count="10">
    <mergeCell ref="J1:L1"/>
    <mergeCell ref="A1:E1"/>
    <mergeCell ref="F1:I1"/>
    <mergeCell ref="A81:A88"/>
    <mergeCell ref="A3:A7"/>
    <mergeCell ref="A8:A25"/>
    <mergeCell ref="A26:A40"/>
    <mergeCell ref="A41:A57"/>
    <mergeCell ref="A58:A65"/>
    <mergeCell ref="A66:A80"/>
  </mergeCells>
  <phoneticPr fontId="1" type="noConversion"/>
  <conditionalFormatting sqref="J1 J2:M1048576">
    <cfRule type="expression" dxfId="3" priority="1">
      <formula>J1=TRUE</formula>
    </cfRule>
  </conditionalFormatting>
  <conditionalFormatting sqref="K2:L2">
    <cfRule type="expression" dxfId="2" priority="3">
      <formula>K2=TRUE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966E-0CA6-420C-BF0A-68E944265FB1}">
  <dimension ref="A1:M129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2" sqref="A2"/>
      <selection pane="bottomRight" sqref="A1:E1"/>
    </sheetView>
  </sheetViews>
  <sheetFormatPr defaultColWidth="9" defaultRowHeight="15.6" x14ac:dyDescent="0.4"/>
  <cols>
    <col min="1" max="1" width="23.59765625" style="14" bestFit="1" customWidth="1"/>
    <col min="2" max="2" width="4.19921875" style="14" bestFit="1" customWidth="1"/>
    <col min="3" max="3" width="32.8984375" style="1" bestFit="1" customWidth="1"/>
    <col min="4" max="4" width="9.3984375" style="8" bestFit="1" customWidth="1"/>
    <col min="5" max="5" width="9.8984375" style="8" bestFit="1" customWidth="1"/>
    <col min="6" max="6" width="46.09765625" style="14" bestFit="1" customWidth="1"/>
    <col min="7" max="7" width="19.69921875" style="1" bestFit="1" customWidth="1"/>
    <col min="8" max="8" width="9.09765625" style="8" bestFit="1" customWidth="1"/>
    <col min="9" max="9" width="9.8984375" style="8" bestFit="1" customWidth="1"/>
    <col min="10" max="11" width="9" style="1"/>
    <col min="12" max="12" width="21.09765625" style="14" bestFit="1" customWidth="1"/>
    <col min="13" max="13" width="45.09765625" style="14" bestFit="1" customWidth="1"/>
    <col min="14" max="16384" width="9" style="1"/>
  </cols>
  <sheetData>
    <row r="1" spans="1:13" x14ac:dyDescent="0.4">
      <c r="A1" s="88" t="s">
        <v>189</v>
      </c>
      <c r="B1" s="89"/>
      <c r="C1" s="89"/>
      <c r="D1" s="89"/>
      <c r="E1" s="90"/>
      <c r="F1" s="88" t="s">
        <v>184</v>
      </c>
      <c r="G1" s="89"/>
      <c r="H1" s="89"/>
      <c r="I1" s="90"/>
      <c r="J1" s="94" t="s">
        <v>37</v>
      </c>
      <c r="K1" s="89"/>
      <c r="L1" s="90"/>
      <c r="M1" s="79" t="s">
        <v>154</v>
      </c>
    </row>
    <row r="2" spans="1:13" x14ac:dyDescent="0.4">
      <c r="A2" s="15" t="s">
        <v>4</v>
      </c>
      <c r="B2" s="5" t="s">
        <v>10</v>
      </c>
      <c r="C2" s="5" t="s">
        <v>5</v>
      </c>
      <c r="D2" s="6" t="s">
        <v>6</v>
      </c>
      <c r="E2" s="16" t="s">
        <v>7</v>
      </c>
      <c r="F2" s="15" t="s">
        <v>4</v>
      </c>
      <c r="G2" s="5" t="s">
        <v>5</v>
      </c>
      <c r="H2" s="6" t="s">
        <v>6</v>
      </c>
      <c r="I2" s="16" t="s">
        <v>7</v>
      </c>
      <c r="J2" s="26" t="s">
        <v>6</v>
      </c>
      <c r="K2" s="5" t="s">
        <v>7</v>
      </c>
      <c r="L2" s="32" t="s">
        <v>71</v>
      </c>
      <c r="M2" s="32" t="s">
        <v>7</v>
      </c>
    </row>
    <row r="3" spans="1:13" x14ac:dyDescent="0.4">
      <c r="A3" s="86" t="s">
        <v>126</v>
      </c>
      <c r="B3" s="4">
        <v>1</v>
      </c>
      <c r="C3" s="3" t="s">
        <v>11</v>
      </c>
      <c r="D3" s="7">
        <v>22</v>
      </c>
      <c r="E3" s="17">
        <v>0</v>
      </c>
      <c r="F3" s="47"/>
      <c r="G3" s="34"/>
      <c r="H3" s="24"/>
      <c r="I3" s="30"/>
      <c r="J3" s="35"/>
      <c r="K3" s="34"/>
      <c r="L3" s="83" t="s">
        <v>181</v>
      </c>
      <c r="M3" s="83"/>
    </row>
    <row r="4" spans="1:13" x14ac:dyDescent="0.4">
      <c r="A4" s="86"/>
      <c r="B4" s="4">
        <v>2</v>
      </c>
      <c r="C4" s="55" t="s">
        <v>12</v>
      </c>
      <c r="D4" s="56">
        <v>12</v>
      </c>
      <c r="E4" s="57">
        <v>2510</v>
      </c>
      <c r="F4" s="58" t="s">
        <v>132</v>
      </c>
      <c r="G4" s="55" t="s">
        <v>35</v>
      </c>
      <c r="H4" s="56">
        <v>11</v>
      </c>
      <c r="I4" s="57">
        <v>2560</v>
      </c>
      <c r="J4" s="77" t="b">
        <f t="shared" ref="J4:J46" si="0">D4=H4</f>
        <v>0</v>
      </c>
      <c r="K4" s="55" t="b">
        <f t="shared" ref="K4:K46" si="1">E4=I4</f>
        <v>0</v>
      </c>
      <c r="L4" s="81"/>
      <c r="M4" s="81" t="s">
        <v>195</v>
      </c>
    </row>
    <row r="5" spans="1:13" x14ac:dyDescent="0.4">
      <c r="A5" s="86"/>
      <c r="B5" s="4">
        <v>3</v>
      </c>
      <c r="C5" s="55" t="s">
        <v>36</v>
      </c>
      <c r="D5" s="56">
        <v>29</v>
      </c>
      <c r="E5" s="57">
        <v>5590</v>
      </c>
      <c r="F5" s="58" t="s">
        <v>132</v>
      </c>
      <c r="G5" s="55" t="s">
        <v>57</v>
      </c>
      <c r="H5" s="56">
        <v>29</v>
      </c>
      <c r="I5" s="57">
        <v>5683</v>
      </c>
      <c r="J5" s="77" t="b">
        <f t="shared" si="0"/>
        <v>1</v>
      </c>
      <c r="K5" s="55" t="b">
        <f t="shared" si="1"/>
        <v>0</v>
      </c>
      <c r="L5" s="81"/>
      <c r="M5" s="81" t="s">
        <v>195</v>
      </c>
    </row>
    <row r="6" spans="1:13" x14ac:dyDescent="0.4">
      <c r="A6" s="86"/>
      <c r="B6" s="4">
        <v>4</v>
      </c>
      <c r="C6" s="55" t="s">
        <v>38</v>
      </c>
      <c r="D6" s="56">
        <v>27</v>
      </c>
      <c r="E6" s="57">
        <v>55</v>
      </c>
      <c r="F6" s="58" t="s">
        <v>132</v>
      </c>
      <c r="G6" s="55" t="s">
        <v>73</v>
      </c>
      <c r="H6" s="56">
        <v>27</v>
      </c>
      <c r="I6" s="57">
        <v>56</v>
      </c>
      <c r="J6" s="77" t="b">
        <f t="shared" si="0"/>
        <v>1</v>
      </c>
      <c r="K6" s="55" t="b">
        <f t="shared" si="1"/>
        <v>0</v>
      </c>
      <c r="L6" s="81"/>
      <c r="M6" s="81" t="s">
        <v>195</v>
      </c>
    </row>
    <row r="7" spans="1:13" x14ac:dyDescent="0.4">
      <c r="A7" s="86"/>
      <c r="B7" s="4">
        <v>5</v>
      </c>
      <c r="C7" s="55" t="s">
        <v>39</v>
      </c>
      <c r="D7" s="56">
        <v>26</v>
      </c>
      <c r="E7" s="57">
        <v>1681</v>
      </c>
      <c r="F7" s="58" t="s">
        <v>132</v>
      </c>
      <c r="G7" s="55" t="s">
        <v>16</v>
      </c>
      <c r="H7" s="56">
        <v>27</v>
      </c>
      <c r="I7" s="57">
        <v>1713</v>
      </c>
      <c r="J7" s="77" t="b">
        <f t="shared" si="0"/>
        <v>0</v>
      </c>
      <c r="K7" s="55" t="b">
        <f t="shared" si="1"/>
        <v>0</v>
      </c>
      <c r="L7" s="81"/>
      <c r="M7" s="81" t="s">
        <v>195</v>
      </c>
    </row>
    <row r="8" spans="1:13" x14ac:dyDescent="0.4">
      <c r="A8" s="86"/>
      <c r="B8" s="4">
        <v>6</v>
      </c>
      <c r="C8" s="55" t="s">
        <v>86</v>
      </c>
      <c r="D8" s="56">
        <v>11</v>
      </c>
      <c r="E8" s="57">
        <v>25</v>
      </c>
      <c r="F8" s="58" t="s">
        <v>134</v>
      </c>
      <c r="G8" s="55" t="s">
        <v>86</v>
      </c>
      <c r="H8" s="56">
        <v>11</v>
      </c>
      <c r="I8" s="57">
        <v>24</v>
      </c>
      <c r="J8" s="77" t="b">
        <f t="shared" si="0"/>
        <v>1</v>
      </c>
      <c r="K8" s="55" t="b">
        <f t="shared" si="1"/>
        <v>0</v>
      </c>
      <c r="L8" s="81"/>
      <c r="M8" s="81" t="s">
        <v>196</v>
      </c>
    </row>
    <row r="9" spans="1:13" x14ac:dyDescent="0.4">
      <c r="A9" s="86"/>
      <c r="B9" s="4">
        <v>7</v>
      </c>
      <c r="C9" s="55" t="s">
        <v>89</v>
      </c>
      <c r="D9" s="56">
        <v>25</v>
      </c>
      <c r="E9" s="57">
        <v>858</v>
      </c>
      <c r="F9" s="58" t="s">
        <v>133</v>
      </c>
      <c r="G9" s="55" t="s">
        <v>89</v>
      </c>
      <c r="H9" s="56">
        <v>25</v>
      </c>
      <c r="I9" s="57">
        <v>840</v>
      </c>
      <c r="J9" s="77" t="b">
        <f t="shared" si="0"/>
        <v>1</v>
      </c>
      <c r="K9" s="55" t="b">
        <f t="shared" si="1"/>
        <v>0</v>
      </c>
      <c r="L9" s="81"/>
      <c r="M9" s="81" t="s">
        <v>196</v>
      </c>
    </row>
    <row r="10" spans="1:13" x14ac:dyDescent="0.4">
      <c r="A10" s="86"/>
      <c r="B10" s="4">
        <v>8</v>
      </c>
      <c r="C10" s="3" t="s">
        <v>90</v>
      </c>
      <c r="D10" s="7">
        <v>6</v>
      </c>
      <c r="E10" s="17">
        <v>21</v>
      </c>
      <c r="F10" s="48" t="s">
        <v>133</v>
      </c>
      <c r="G10" s="3" t="s">
        <v>90</v>
      </c>
      <c r="H10" s="7">
        <v>6</v>
      </c>
      <c r="I10" s="17">
        <v>21</v>
      </c>
      <c r="J10" s="27" t="b">
        <f t="shared" si="0"/>
        <v>1</v>
      </c>
      <c r="K10" s="3" t="b">
        <f t="shared" si="1"/>
        <v>1</v>
      </c>
      <c r="L10" s="80"/>
      <c r="M10" s="80"/>
    </row>
    <row r="11" spans="1:13" x14ac:dyDescent="0.4">
      <c r="A11" s="86"/>
      <c r="B11" s="4">
        <v>9</v>
      </c>
      <c r="C11" s="3" t="s">
        <v>91</v>
      </c>
      <c r="D11" s="7">
        <v>5</v>
      </c>
      <c r="E11" s="17">
        <v>25</v>
      </c>
      <c r="F11" s="48" t="s">
        <v>133</v>
      </c>
      <c r="G11" s="3" t="s">
        <v>91</v>
      </c>
      <c r="H11" s="7">
        <v>6</v>
      </c>
      <c r="I11" s="17">
        <v>25</v>
      </c>
      <c r="J11" s="27" t="b">
        <f t="shared" si="0"/>
        <v>0</v>
      </c>
      <c r="K11" s="3" t="b">
        <f t="shared" si="1"/>
        <v>1</v>
      </c>
      <c r="L11" s="80"/>
      <c r="M11" s="80"/>
    </row>
    <row r="12" spans="1:13" x14ac:dyDescent="0.4">
      <c r="A12" s="86"/>
      <c r="B12" s="4">
        <v>10</v>
      </c>
      <c r="C12" s="55" t="s">
        <v>92</v>
      </c>
      <c r="D12" s="56">
        <v>7</v>
      </c>
      <c r="E12" s="57">
        <v>11461</v>
      </c>
      <c r="F12" s="58" t="s">
        <v>133</v>
      </c>
      <c r="G12" s="55" t="s">
        <v>92</v>
      </c>
      <c r="H12" s="56">
        <v>7</v>
      </c>
      <c r="I12" s="57">
        <v>11904</v>
      </c>
      <c r="J12" s="77" t="b">
        <f t="shared" si="0"/>
        <v>1</v>
      </c>
      <c r="K12" s="55" t="b">
        <f t="shared" si="1"/>
        <v>0</v>
      </c>
      <c r="L12" s="81"/>
      <c r="M12" s="81" t="s">
        <v>185</v>
      </c>
    </row>
    <row r="13" spans="1:13" x14ac:dyDescent="0.4">
      <c r="A13" s="86"/>
      <c r="B13" s="4">
        <v>11</v>
      </c>
      <c r="C13" s="3" t="s">
        <v>94</v>
      </c>
      <c r="D13" s="7">
        <v>22</v>
      </c>
      <c r="E13" s="17">
        <v>379</v>
      </c>
      <c r="F13" s="48" t="s">
        <v>133</v>
      </c>
      <c r="G13" s="3" t="s">
        <v>94</v>
      </c>
      <c r="H13" s="7">
        <v>22</v>
      </c>
      <c r="I13" s="17">
        <v>379</v>
      </c>
      <c r="J13" s="27" t="b">
        <f t="shared" si="0"/>
        <v>1</v>
      </c>
      <c r="K13" s="3" t="b">
        <f t="shared" si="1"/>
        <v>1</v>
      </c>
      <c r="L13" s="80"/>
      <c r="M13" s="80"/>
    </row>
    <row r="14" spans="1:13" x14ac:dyDescent="0.4">
      <c r="A14" s="86"/>
      <c r="B14" s="4">
        <v>12</v>
      </c>
      <c r="C14" s="55" t="s">
        <v>95</v>
      </c>
      <c r="D14" s="56">
        <v>5</v>
      </c>
      <c r="E14" s="57">
        <v>418</v>
      </c>
      <c r="F14" s="58" t="s">
        <v>133</v>
      </c>
      <c r="G14" s="55" t="s">
        <v>95</v>
      </c>
      <c r="H14" s="56">
        <v>5</v>
      </c>
      <c r="I14" s="57">
        <v>417</v>
      </c>
      <c r="J14" s="77" t="b">
        <f t="shared" si="0"/>
        <v>1</v>
      </c>
      <c r="K14" s="55" t="b">
        <f t="shared" si="1"/>
        <v>0</v>
      </c>
      <c r="L14" s="81"/>
      <c r="M14" s="81" t="s">
        <v>196</v>
      </c>
    </row>
    <row r="15" spans="1:13" x14ac:dyDescent="0.4">
      <c r="A15" s="86"/>
      <c r="B15" s="4">
        <v>13</v>
      </c>
      <c r="C15" s="55" t="s">
        <v>96</v>
      </c>
      <c r="D15" s="56">
        <v>7</v>
      </c>
      <c r="E15" s="57">
        <v>48</v>
      </c>
      <c r="F15" s="58" t="s">
        <v>133</v>
      </c>
      <c r="G15" s="55" t="s">
        <v>96</v>
      </c>
      <c r="H15" s="56">
        <v>7</v>
      </c>
      <c r="I15" s="57">
        <v>46</v>
      </c>
      <c r="J15" s="77" t="b">
        <f t="shared" si="0"/>
        <v>1</v>
      </c>
      <c r="K15" s="55" t="b">
        <f t="shared" si="1"/>
        <v>0</v>
      </c>
      <c r="L15" s="81"/>
      <c r="M15" s="81" t="s">
        <v>196</v>
      </c>
    </row>
    <row r="16" spans="1:13" x14ac:dyDescent="0.4">
      <c r="A16" s="86"/>
      <c r="B16" s="4">
        <v>14</v>
      </c>
      <c r="C16" s="55" t="s">
        <v>77</v>
      </c>
      <c r="D16" s="56">
        <v>90</v>
      </c>
      <c r="E16" s="57">
        <v>516</v>
      </c>
      <c r="F16" s="58" t="s">
        <v>132</v>
      </c>
      <c r="G16" s="55" t="s">
        <v>29</v>
      </c>
      <c r="H16" s="56">
        <v>65</v>
      </c>
      <c r="I16" s="57">
        <v>548</v>
      </c>
      <c r="J16" s="77" t="b">
        <f t="shared" si="0"/>
        <v>0</v>
      </c>
      <c r="K16" s="55" t="b">
        <f t="shared" si="1"/>
        <v>0</v>
      </c>
      <c r="L16" s="81"/>
      <c r="M16" s="81" t="s">
        <v>195</v>
      </c>
    </row>
    <row r="17" spans="1:13" x14ac:dyDescent="0.4">
      <c r="A17" s="86"/>
      <c r="B17" s="4">
        <v>15</v>
      </c>
      <c r="C17" s="55" t="s">
        <v>79</v>
      </c>
      <c r="D17" s="56">
        <v>5</v>
      </c>
      <c r="E17" s="57">
        <v>127</v>
      </c>
      <c r="F17" s="58" t="s">
        <v>132</v>
      </c>
      <c r="G17" s="55" t="s">
        <v>30</v>
      </c>
      <c r="H17" s="56">
        <v>5</v>
      </c>
      <c r="I17" s="57">
        <v>135</v>
      </c>
      <c r="J17" s="77" t="b">
        <f t="shared" si="0"/>
        <v>1</v>
      </c>
      <c r="K17" s="55" t="b">
        <f t="shared" si="1"/>
        <v>0</v>
      </c>
      <c r="L17" s="81"/>
      <c r="M17" s="81" t="s">
        <v>195</v>
      </c>
    </row>
    <row r="18" spans="1:13" x14ac:dyDescent="0.4">
      <c r="A18" s="86"/>
      <c r="B18" s="4">
        <v>16</v>
      </c>
      <c r="C18" s="55" t="s">
        <v>81</v>
      </c>
      <c r="D18" s="56">
        <v>23</v>
      </c>
      <c r="E18" s="57">
        <v>282</v>
      </c>
      <c r="F18" s="58" t="s">
        <v>132</v>
      </c>
      <c r="G18" s="55" t="s">
        <v>31</v>
      </c>
      <c r="H18" s="56">
        <v>23</v>
      </c>
      <c r="I18" s="57">
        <v>300</v>
      </c>
      <c r="J18" s="77" t="b">
        <f t="shared" si="0"/>
        <v>1</v>
      </c>
      <c r="K18" s="55" t="b">
        <f t="shared" si="1"/>
        <v>0</v>
      </c>
      <c r="L18" s="81"/>
      <c r="M18" s="81" t="s">
        <v>195</v>
      </c>
    </row>
    <row r="19" spans="1:13" x14ac:dyDescent="0.4">
      <c r="A19" s="86"/>
      <c r="B19" s="4">
        <v>17</v>
      </c>
      <c r="C19" s="55" t="s">
        <v>40</v>
      </c>
      <c r="D19" s="56">
        <v>36</v>
      </c>
      <c r="E19" s="57">
        <v>813</v>
      </c>
      <c r="F19" s="58" t="s">
        <v>132</v>
      </c>
      <c r="G19" s="55" t="s">
        <v>17</v>
      </c>
      <c r="H19" s="56">
        <v>36</v>
      </c>
      <c r="I19" s="57">
        <v>833</v>
      </c>
      <c r="J19" s="77" t="b">
        <f t="shared" si="0"/>
        <v>1</v>
      </c>
      <c r="K19" s="55" t="b">
        <f t="shared" si="1"/>
        <v>0</v>
      </c>
      <c r="L19" s="81"/>
      <c r="M19" s="81" t="s">
        <v>195</v>
      </c>
    </row>
    <row r="20" spans="1:13" x14ac:dyDescent="0.4">
      <c r="A20" s="86"/>
      <c r="B20" s="4">
        <v>18</v>
      </c>
      <c r="C20" s="3" t="s">
        <v>18</v>
      </c>
      <c r="D20" s="7">
        <v>21</v>
      </c>
      <c r="E20" s="17">
        <v>0</v>
      </c>
      <c r="F20" s="47"/>
      <c r="G20" s="34"/>
      <c r="H20" s="24"/>
      <c r="I20" s="30"/>
      <c r="J20" s="35"/>
      <c r="K20" s="34"/>
      <c r="L20" s="83" t="s">
        <v>181</v>
      </c>
      <c r="M20" s="83"/>
    </row>
    <row r="21" spans="1:13" x14ac:dyDescent="0.4">
      <c r="A21" s="86"/>
      <c r="B21" s="4">
        <v>19</v>
      </c>
      <c r="C21" s="55" t="s">
        <v>42</v>
      </c>
      <c r="D21" s="56">
        <v>60</v>
      </c>
      <c r="E21" s="57">
        <v>55</v>
      </c>
      <c r="F21" s="58" t="s">
        <v>132</v>
      </c>
      <c r="G21" s="55" t="s">
        <v>19</v>
      </c>
      <c r="H21" s="56">
        <v>40</v>
      </c>
      <c r="I21" s="57">
        <v>56</v>
      </c>
      <c r="J21" s="77" t="b">
        <f t="shared" si="0"/>
        <v>0</v>
      </c>
      <c r="K21" s="55" t="b">
        <f t="shared" si="1"/>
        <v>0</v>
      </c>
      <c r="L21" s="81"/>
      <c r="M21" s="81" t="s">
        <v>195</v>
      </c>
    </row>
    <row r="22" spans="1:13" x14ac:dyDescent="0.4">
      <c r="A22" s="86"/>
      <c r="B22" s="4">
        <v>20</v>
      </c>
      <c r="C22" s="3" t="s">
        <v>20</v>
      </c>
      <c r="D22" s="7">
        <v>29</v>
      </c>
      <c r="E22" s="17">
        <v>0</v>
      </c>
      <c r="F22" s="47"/>
      <c r="G22" s="34"/>
      <c r="H22" s="24"/>
      <c r="I22" s="30"/>
      <c r="J22" s="35"/>
      <c r="K22" s="34"/>
      <c r="L22" s="83" t="s">
        <v>181</v>
      </c>
      <c r="M22" s="83"/>
    </row>
    <row r="23" spans="1:13" x14ac:dyDescent="0.4">
      <c r="A23" s="86" t="s">
        <v>127</v>
      </c>
      <c r="B23" s="4">
        <v>1</v>
      </c>
      <c r="C23" s="3" t="s">
        <v>45</v>
      </c>
      <c r="D23" s="7">
        <v>22</v>
      </c>
      <c r="E23" s="17">
        <v>5127</v>
      </c>
      <c r="F23" s="48" t="s">
        <v>136</v>
      </c>
      <c r="G23" s="3" t="s">
        <v>11</v>
      </c>
      <c r="H23" s="7">
        <v>23</v>
      </c>
      <c r="I23" s="17">
        <v>5127</v>
      </c>
      <c r="J23" s="27" t="b">
        <f t="shared" si="0"/>
        <v>0</v>
      </c>
      <c r="K23" s="3" t="b">
        <f t="shared" si="1"/>
        <v>1</v>
      </c>
      <c r="L23" s="80"/>
      <c r="M23" s="80"/>
    </row>
    <row r="24" spans="1:13" x14ac:dyDescent="0.4">
      <c r="A24" s="86"/>
      <c r="B24" s="4">
        <v>2</v>
      </c>
      <c r="C24" s="3" t="s">
        <v>35</v>
      </c>
      <c r="D24" s="7">
        <v>12</v>
      </c>
      <c r="E24" s="17">
        <v>57411</v>
      </c>
      <c r="F24" s="48" t="s">
        <v>135</v>
      </c>
      <c r="G24" s="3" t="s">
        <v>56</v>
      </c>
      <c r="H24" s="7">
        <v>11</v>
      </c>
      <c r="I24" s="17">
        <v>57411</v>
      </c>
      <c r="J24" s="27" t="b">
        <f t="shared" si="0"/>
        <v>0</v>
      </c>
      <c r="K24" s="3" t="b">
        <f t="shared" si="1"/>
        <v>1</v>
      </c>
      <c r="L24" s="80"/>
      <c r="M24" s="80"/>
    </row>
    <row r="25" spans="1:13" x14ac:dyDescent="0.4">
      <c r="A25" s="86"/>
      <c r="B25" s="4">
        <v>3</v>
      </c>
      <c r="C25" s="3" t="s">
        <v>36</v>
      </c>
      <c r="D25" s="7">
        <v>29</v>
      </c>
      <c r="E25" s="17">
        <v>124637</v>
      </c>
      <c r="F25" s="48" t="s">
        <v>135</v>
      </c>
      <c r="G25" s="3" t="s">
        <v>57</v>
      </c>
      <c r="H25" s="7">
        <v>29</v>
      </c>
      <c r="I25" s="17">
        <v>124637</v>
      </c>
      <c r="J25" s="27" t="b">
        <f t="shared" si="0"/>
        <v>1</v>
      </c>
      <c r="K25" s="3" t="b">
        <f t="shared" si="1"/>
        <v>1</v>
      </c>
      <c r="L25" s="80"/>
      <c r="M25" s="80"/>
    </row>
    <row r="26" spans="1:13" x14ac:dyDescent="0.4">
      <c r="A26" s="86"/>
      <c r="B26" s="4">
        <v>4</v>
      </c>
      <c r="C26" s="3" t="s">
        <v>38</v>
      </c>
      <c r="D26" s="7">
        <v>27</v>
      </c>
      <c r="E26" s="17">
        <v>1205</v>
      </c>
      <c r="F26" s="48" t="s">
        <v>135</v>
      </c>
      <c r="G26" s="3" t="s">
        <v>73</v>
      </c>
      <c r="H26" s="7">
        <v>27</v>
      </c>
      <c r="I26" s="17">
        <v>1205</v>
      </c>
      <c r="J26" s="27" t="b">
        <f t="shared" si="0"/>
        <v>1</v>
      </c>
      <c r="K26" s="3" t="b">
        <f t="shared" si="1"/>
        <v>1</v>
      </c>
      <c r="L26" s="80"/>
      <c r="M26" s="80"/>
    </row>
    <row r="27" spans="1:13" x14ac:dyDescent="0.4">
      <c r="A27" s="86"/>
      <c r="B27" s="4">
        <v>5</v>
      </c>
      <c r="C27" s="3" t="s">
        <v>39</v>
      </c>
      <c r="D27" s="7">
        <v>26</v>
      </c>
      <c r="E27" s="17">
        <v>40728</v>
      </c>
      <c r="F27" s="48" t="s">
        <v>135</v>
      </c>
      <c r="G27" s="3" t="s">
        <v>16</v>
      </c>
      <c r="H27" s="7">
        <v>27</v>
      </c>
      <c r="I27" s="17">
        <v>40728</v>
      </c>
      <c r="J27" s="27" t="b">
        <f t="shared" si="0"/>
        <v>0</v>
      </c>
      <c r="K27" s="3" t="b">
        <f t="shared" si="1"/>
        <v>1</v>
      </c>
      <c r="L27" s="80"/>
      <c r="M27" s="80"/>
    </row>
    <row r="28" spans="1:13" x14ac:dyDescent="0.4">
      <c r="A28" s="86"/>
      <c r="B28" s="4">
        <v>6</v>
      </c>
      <c r="C28" s="55" t="s">
        <v>86</v>
      </c>
      <c r="D28" s="56">
        <v>11</v>
      </c>
      <c r="E28" s="57">
        <v>916</v>
      </c>
      <c r="F28" s="58" t="s">
        <v>88</v>
      </c>
      <c r="G28" s="55" t="s">
        <v>86</v>
      </c>
      <c r="H28" s="56">
        <v>11</v>
      </c>
      <c r="I28" s="57">
        <v>934</v>
      </c>
      <c r="J28" s="77" t="b">
        <f t="shared" si="0"/>
        <v>1</v>
      </c>
      <c r="K28" s="55" t="b">
        <f t="shared" si="1"/>
        <v>0</v>
      </c>
      <c r="L28" s="81"/>
      <c r="M28" s="81" t="s">
        <v>186</v>
      </c>
    </row>
    <row r="29" spans="1:13" x14ac:dyDescent="0.4">
      <c r="A29" s="86"/>
      <c r="B29" s="4">
        <v>7</v>
      </c>
      <c r="C29" s="55" t="s">
        <v>89</v>
      </c>
      <c r="D29" s="56">
        <v>25</v>
      </c>
      <c r="E29" s="57">
        <v>35601</v>
      </c>
      <c r="F29" s="58" t="s">
        <v>88</v>
      </c>
      <c r="G29" s="55" t="s">
        <v>89</v>
      </c>
      <c r="H29" s="56">
        <v>25</v>
      </c>
      <c r="I29" s="57">
        <v>35991</v>
      </c>
      <c r="J29" s="77" t="b">
        <f t="shared" si="0"/>
        <v>1</v>
      </c>
      <c r="K29" s="55" t="b">
        <f t="shared" si="1"/>
        <v>0</v>
      </c>
      <c r="L29" s="81"/>
      <c r="M29" s="81" t="s">
        <v>186</v>
      </c>
    </row>
    <row r="30" spans="1:13" x14ac:dyDescent="0.4">
      <c r="A30" s="86"/>
      <c r="B30" s="4">
        <v>8</v>
      </c>
      <c r="C30" s="55" t="s">
        <v>23</v>
      </c>
      <c r="D30" s="56">
        <v>6</v>
      </c>
      <c r="E30" s="57">
        <v>916</v>
      </c>
      <c r="F30" s="58" t="s">
        <v>88</v>
      </c>
      <c r="G30" s="55" t="s">
        <v>90</v>
      </c>
      <c r="H30" s="56">
        <v>6</v>
      </c>
      <c r="I30" s="57">
        <v>1039</v>
      </c>
      <c r="J30" s="77" t="b">
        <f t="shared" si="0"/>
        <v>1</v>
      </c>
      <c r="K30" s="55" t="b">
        <f t="shared" si="1"/>
        <v>0</v>
      </c>
      <c r="L30" s="81"/>
      <c r="M30" s="81" t="s">
        <v>186</v>
      </c>
    </row>
    <row r="31" spans="1:13" x14ac:dyDescent="0.4">
      <c r="A31" s="86"/>
      <c r="B31" s="4">
        <v>9</v>
      </c>
      <c r="C31" s="55" t="s">
        <v>24</v>
      </c>
      <c r="D31" s="56">
        <v>5</v>
      </c>
      <c r="E31" s="57">
        <v>969</v>
      </c>
      <c r="F31" s="58" t="s">
        <v>88</v>
      </c>
      <c r="G31" s="55" t="s">
        <v>91</v>
      </c>
      <c r="H31" s="56">
        <v>6</v>
      </c>
      <c r="I31" s="57">
        <v>1026</v>
      </c>
      <c r="J31" s="77" t="b">
        <f t="shared" si="0"/>
        <v>0</v>
      </c>
      <c r="K31" s="55" t="b">
        <f t="shared" si="1"/>
        <v>0</v>
      </c>
      <c r="L31" s="81"/>
      <c r="M31" s="81" t="s">
        <v>186</v>
      </c>
    </row>
    <row r="32" spans="1:13" x14ac:dyDescent="0.4">
      <c r="A32" s="86"/>
      <c r="B32" s="4">
        <v>10</v>
      </c>
      <c r="C32" s="55" t="s">
        <v>25</v>
      </c>
      <c r="D32" s="56">
        <v>7</v>
      </c>
      <c r="E32" s="57">
        <v>480083</v>
      </c>
      <c r="F32" s="58" t="s">
        <v>88</v>
      </c>
      <c r="G32" s="55" t="s">
        <v>92</v>
      </c>
      <c r="H32" s="56">
        <v>7</v>
      </c>
      <c r="I32" s="57">
        <v>481497</v>
      </c>
      <c r="J32" s="77" t="b">
        <f t="shared" si="0"/>
        <v>1</v>
      </c>
      <c r="K32" s="55" t="b">
        <f t="shared" si="1"/>
        <v>0</v>
      </c>
      <c r="L32" s="81"/>
      <c r="M32" s="81" t="s">
        <v>186</v>
      </c>
    </row>
    <row r="33" spans="1:13" x14ac:dyDescent="0.4">
      <c r="A33" s="86"/>
      <c r="B33" s="4">
        <v>11</v>
      </c>
      <c r="C33" s="55" t="s">
        <v>26</v>
      </c>
      <c r="D33" s="56">
        <v>22</v>
      </c>
      <c r="E33" s="57">
        <v>9672</v>
      </c>
      <c r="F33" s="58" t="s">
        <v>88</v>
      </c>
      <c r="G33" s="55" t="s">
        <v>94</v>
      </c>
      <c r="H33" s="56">
        <v>22</v>
      </c>
      <c r="I33" s="57">
        <v>9718</v>
      </c>
      <c r="J33" s="77" t="b">
        <f t="shared" si="0"/>
        <v>1</v>
      </c>
      <c r="K33" s="55" t="b">
        <f t="shared" si="1"/>
        <v>0</v>
      </c>
      <c r="L33" s="81"/>
      <c r="M33" s="81" t="s">
        <v>186</v>
      </c>
    </row>
    <row r="34" spans="1:13" x14ac:dyDescent="0.4">
      <c r="A34" s="86"/>
      <c r="B34" s="4">
        <v>12</v>
      </c>
      <c r="C34" s="55" t="s">
        <v>27</v>
      </c>
      <c r="D34" s="56">
        <v>5</v>
      </c>
      <c r="E34" s="57">
        <v>16114</v>
      </c>
      <c r="F34" s="58" t="s">
        <v>88</v>
      </c>
      <c r="G34" s="55" t="s">
        <v>95</v>
      </c>
      <c r="H34" s="56">
        <v>5</v>
      </c>
      <c r="I34" s="57">
        <v>16174</v>
      </c>
      <c r="J34" s="77" t="b">
        <f t="shared" si="0"/>
        <v>1</v>
      </c>
      <c r="K34" s="55" t="b">
        <f t="shared" si="1"/>
        <v>0</v>
      </c>
      <c r="L34" s="81"/>
      <c r="M34" s="81" t="s">
        <v>186</v>
      </c>
    </row>
    <row r="35" spans="1:13" x14ac:dyDescent="0.4">
      <c r="A35" s="86"/>
      <c r="B35" s="4">
        <v>13</v>
      </c>
      <c r="C35" s="55" t="s">
        <v>28</v>
      </c>
      <c r="D35" s="56">
        <v>7</v>
      </c>
      <c r="E35" s="57">
        <v>2022</v>
      </c>
      <c r="F35" s="58" t="s">
        <v>88</v>
      </c>
      <c r="G35" s="55" t="s">
        <v>96</v>
      </c>
      <c r="H35" s="56">
        <v>7</v>
      </c>
      <c r="I35" s="57">
        <v>1878</v>
      </c>
      <c r="J35" s="77" t="b">
        <f t="shared" si="0"/>
        <v>1</v>
      </c>
      <c r="K35" s="55" t="b">
        <f t="shared" si="1"/>
        <v>0</v>
      </c>
      <c r="L35" s="81"/>
      <c r="M35" s="81" t="s">
        <v>186</v>
      </c>
    </row>
    <row r="36" spans="1:13" x14ac:dyDescent="0.4">
      <c r="A36" s="86"/>
      <c r="B36" s="4">
        <v>14</v>
      </c>
      <c r="C36" s="3" t="s">
        <v>77</v>
      </c>
      <c r="D36" s="7">
        <v>90</v>
      </c>
      <c r="E36" s="17">
        <v>29217</v>
      </c>
      <c r="F36" s="48" t="s">
        <v>135</v>
      </c>
      <c r="G36" s="3" t="s">
        <v>29</v>
      </c>
      <c r="H36" s="7">
        <v>65</v>
      </c>
      <c r="I36" s="17">
        <v>29217</v>
      </c>
      <c r="J36" s="27" t="b">
        <f t="shared" si="0"/>
        <v>0</v>
      </c>
      <c r="K36" s="3" t="b">
        <f t="shared" si="1"/>
        <v>1</v>
      </c>
      <c r="L36" s="80"/>
      <c r="M36" s="80"/>
    </row>
    <row r="37" spans="1:13" x14ac:dyDescent="0.4">
      <c r="A37" s="86"/>
      <c r="B37" s="4">
        <v>15</v>
      </c>
      <c r="C37" s="3" t="s">
        <v>79</v>
      </c>
      <c r="D37" s="7">
        <v>5</v>
      </c>
      <c r="E37" s="17">
        <v>7092</v>
      </c>
      <c r="F37" s="48" t="s">
        <v>135</v>
      </c>
      <c r="G37" s="3" t="s">
        <v>30</v>
      </c>
      <c r="H37" s="7">
        <v>5</v>
      </c>
      <c r="I37" s="17">
        <v>7092</v>
      </c>
      <c r="J37" s="27" t="b">
        <f t="shared" si="0"/>
        <v>1</v>
      </c>
      <c r="K37" s="3" t="b">
        <f t="shared" si="1"/>
        <v>1</v>
      </c>
      <c r="L37" s="80"/>
      <c r="M37" s="80"/>
    </row>
    <row r="38" spans="1:13" x14ac:dyDescent="0.4">
      <c r="A38" s="86"/>
      <c r="B38" s="4">
        <v>16</v>
      </c>
      <c r="C38" s="3" t="s">
        <v>81</v>
      </c>
      <c r="D38" s="7">
        <v>23</v>
      </c>
      <c r="E38" s="17">
        <v>8942</v>
      </c>
      <c r="F38" s="48" t="s">
        <v>135</v>
      </c>
      <c r="G38" s="3" t="s">
        <v>31</v>
      </c>
      <c r="H38" s="7">
        <v>23</v>
      </c>
      <c r="I38" s="17">
        <v>8942</v>
      </c>
      <c r="J38" s="27" t="b">
        <f t="shared" si="0"/>
        <v>1</v>
      </c>
      <c r="K38" s="3" t="b">
        <f t="shared" si="1"/>
        <v>1</v>
      </c>
      <c r="L38" s="80"/>
      <c r="M38" s="80"/>
    </row>
    <row r="39" spans="1:13" x14ac:dyDescent="0.4">
      <c r="A39" s="86"/>
      <c r="B39" s="4">
        <v>17</v>
      </c>
      <c r="C39" s="3" t="s">
        <v>40</v>
      </c>
      <c r="D39" s="7">
        <v>36</v>
      </c>
      <c r="E39" s="17">
        <v>14756</v>
      </c>
      <c r="F39" s="48" t="s">
        <v>135</v>
      </c>
      <c r="G39" s="3" t="s">
        <v>17</v>
      </c>
      <c r="H39" s="7">
        <v>36</v>
      </c>
      <c r="I39" s="17">
        <v>14756</v>
      </c>
      <c r="J39" s="27" t="b">
        <f t="shared" si="0"/>
        <v>1</v>
      </c>
      <c r="K39" s="3" t="b">
        <f t="shared" si="1"/>
        <v>1</v>
      </c>
      <c r="L39" s="80"/>
      <c r="M39" s="80"/>
    </row>
    <row r="40" spans="1:13" x14ac:dyDescent="0.4">
      <c r="A40" s="86"/>
      <c r="B40" s="4">
        <v>18</v>
      </c>
      <c r="C40" s="3" t="s">
        <v>41</v>
      </c>
      <c r="D40" s="7">
        <v>21</v>
      </c>
      <c r="E40" s="17">
        <v>3904</v>
      </c>
      <c r="F40" s="48" t="s">
        <v>135</v>
      </c>
      <c r="G40" s="3" t="s">
        <v>18</v>
      </c>
      <c r="H40" s="7">
        <v>22</v>
      </c>
      <c r="I40" s="17">
        <v>3904</v>
      </c>
      <c r="J40" s="27" t="b">
        <f t="shared" si="0"/>
        <v>0</v>
      </c>
      <c r="K40" s="3" t="b">
        <f t="shared" si="1"/>
        <v>1</v>
      </c>
      <c r="L40" s="80"/>
      <c r="M40" s="80"/>
    </row>
    <row r="41" spans="1:13" x14ac:dyDescent="0.4">
      <c r="A41" s="86"/>
      <c r="B41" s="4">
        <v>19</v>
      </c>
      <c r="C41" s="3" t="s">
        <v>42</v>
      </c>
      <c r="D41" s="7">
        <v>60</v>
      </c>
      <c r="E41" s="17">
        <v>1205</v>
      </c>
      <c r="F41" s="48" t="s">
        <v>135</v>
      </c>
      <c r="G41" s="3" t="s">
        <v>19</v>
      </c>
      <c r="H41" s="7">
        <v>60</v>
      </c>
      <c r="I41" s="17">
        <v>1205</v>
      </c>
      <c r="J41" s="27" t="b">
        <f t="shared" si="0"/>
        <v>1</v>
      </c>
      <c r="K41" s="3" t="b">
        <f t="shared" si="1"/>
        <v>1</v>
      </c>
      <c r="L41" s="80"/>
      <c r="M41" s="80"/>
    </row>
    <row r="42" spans="1:13" x14ac:dyDescent="0.4">
      <c r="A42" s="86"/>
      <c r="B42" s="4">
        <v>20</v>
      </c>
      <c r="C42" s="3" t="s">
        <v>0</v>
      </c>
      <c r="D42" s="7">
        <v>43</v>
      </c>
      <c r="E42" s="17">
        <v>466</v>
      </c>
      <c r="F42" s="47"/>
      <c r="G42" s="34"/>
      <c r="H42" s="24"/>
      <c r="I42" s="30"/>
      <c r="J42" s="35"/>
      <c r="K42" s="34"/>
      <c r="L42" s="83" t="s">
        <v>161</v>
      </c>
      <c r="M42" s="83"/>
    </row>
    <row r="43" spans="1:13" x14ac:dyDescent="0.4">
      <c r="A43" s="86"/>
      <c r="B43" s="4">
        <v>21</v>
      </c>
      <c r="C43" s="3" t="s">
        <v>1</v>
      </c>
      <c r="D43" s="7">
        <v>14</v>
      </c>
      <c r="E43" s="17">
        <v>5700</v>
      </c>
      <c r="F43" s="47"/>
      <c r="G43" s="34"/>
      <c r="H43" s="24"/>
      <c r="I43" s="30"/>
      <c r="J43" s="35"/>
      <c r="K43" s="34"/>
      <c r="L43" s="83" t="s">
        <v>161</v>
      </c>
      <c r="M43" s="83"/>
    </row>
    <row r="44" spans="1:13" x14ac:dyDescent="0.4">
      <c r="A44" s="86"/>
      <c r="B44" s="4">
        <v>22</v>
      </c>
      <c r="C44" s="3" t="s">
        <v>2</v>
      </c>
      <c r="D44" s="7">
        <v>54</v>
      </c>
      <c r="E44" s="17">
        <v>394</v>
      </c>
      <c r="F44" s="47"/>
      <c r="G44" s="34"/>
      <c r="H44" s="24"/>
      <c r="I44" s="30"/>
      <c r="J44" s="35"/>
      <c r="K44" s="34"/>
      <c r="L44" s="83" t="s">
        <v>161</v>
      </c>
      <c r="M44" s="83"/>
    </row>
    <row r="45" spans="1:13" x14ac:dyDescent="0.4">
      <c r="A45" s="86"/>
      <c r="B45" s="4">
        <v>23</v>
      </c>
      <c r="C45" s="3" t="s">
        <v>3</v>
      </c>
      <c r="D45" s="7">
        <v>14</v>
      </c>
      <c r="E45" s="17">
        <v>5460</v>
      </c>
      <c r="F45" s="47"/>
      <c r="G45" s="34"/>
      <c r="H45" s="24"/>
      <c r="I45" s="30"/>
      <c r="J45" s="35"/>
      <c r="K45" s="34"/>
      <c r="L45" s="83" t="s">
        <v>161</v>
      </c>
      <c r="M45" s="83"/>
    </row>
    <row r="46" spans="1:13" x14ac:dyDescent="0.4">
      <c r="A46" s="86"/>
      <c r="B46" s="4">
        <v>24</v>
      </c>
      <c r="C46" s="3" t="s">
        <v>43</v>
      </c>
      <c r="D46" s="7">
        <v>29</v>
      </c>
      <c r="E46" s="17">
        <v>214</v>
      </c>
      <c r="F46" s="48" t="s">
        <v>135</v>
      </c>
      <c r="G46" s="3" t="s">
        <v>20</v>
      </c>
      <c r="H46" s="7">
        <v>31</v>
      </c>
      <c r="I46" s="17">
        <v>214</v>
      </c>
      <c r="J46" s="27" t="b">
        <f t="shared" si="0"/>
        <v>0</v>
      </c>
      <c r="K46" s="3" t="b">
        <f t="shared" si="1"/>
        <v>1</v>
      </c>
      <c r="L46" s="80"/>
      <c r="M46" s="80"/>
    </row>
    <row r="47" spans="1:13" hidden="1" x14ac:dyDescent="0.4">
      <c r="A47" s="86" t="s">
        <v>128</v>
      </c>
      <c r="B47" s="4">
        <v>1</v>
      </c>
      <c r="C47" s="3" t="s">
        <v>11</v>
      </c>
      <c r="D47" s="7">
        <v>22</v>
      </c>
      <c r="E47" s="17">
        <v>0</v>
      </c>
      <c r="F47" s="47"/>
      <c r="G47" s="34"/>
      <c r="H47" s="24"/>
      <c r="I47" s="30"/>
      <c r="J47" s="35"/>
      <c r="K47" s="34"/>
      <c r="L47" s="80"/>
      <c r="M47" s="80"/>
    </row>
    <row r="48" spans="1:13" hidden="1" x14ac:dyDescent="0.4">
      <c r="A48" s="86"/>
      <c r="B48" s="4">
        <v>2</v>
      </c>
      <c r="C48" s="3" t="s">
        <v>12</v>
      </c>
      <c r="D48" s="7">
        <v>12</v>
      </c>
      <c r="E48" s="17">
        <v>2073</v>
      </c>
      <c r="F48" s="47"/>
      <c r="G48" s="34"/>
      <c r="H48" s="24"/>
      <c r="I48" s="30"/>
      <c r="J48" s="35"/>
      <c r="K48" s="34"/>
      <c r="L48" s="80"/>
      <c r="M48" s="80"/>
    </row>
    <row r="49" spans="1:13" hidden="1" x14ac:dyDescent="0.4">
      <c r="A49" s="86"/>
      <c r="B49" s="4">
        <v>3</v>
      </c>
      <c r="C49" s="3" t="s">
        <v>14</v>
      </c>
      <c r="D49" s="7">
        <v>29</v>
      </c>
      <c r="E49" s="17">
        <v>4586</v>
      </c>
      <c r="F49" s="47"/>
      <c r="G49" s="34"/>
      <c r="H49" s="24"/>
      <c r="I49" s="30"/>
      <c r="J49" s="35"/>
      <c r="K49" s="34"/>
      <c r="L49" s="80"/>
      <c r="M49" s="80"/>
    </row>
    <row r="50" spans="1:13" hidden="1" x14ac:dyDescent="0.4">
      <c r="A50" s="86"/>
      <c r="B50" s="4">
        <v>4</v>
      </c>
      <c r="C50" s="3" t="s">
        <v>15</v>
      </c>
      <c r="D50" s="7">
        <v>27</v>
      </c>
      <c r="E50" s="17">
        <v>43</v>
      </c>
      <c r="F50" s="47"/>
      <c r="G50" s="34"/>
      <c r="H50" s="24"/>
      <c r="I50" s="30"/>
      <c r="J50" s="35"/>
      <c r="K50" s="34"/>
      <c r="L50" s="80"/>
      <c r="M50" s="80"/>
    </row>
    <row r="51" spans="1:13" hidden="1" x14ac:dyDescent="0.4">
      <c r="A51" s="86"/>
      <c r="B51" s="4">
        <v>5</v>
      </c>
      <c r="C51" s="3" t="s">
        <v>16</v>
      </c>
      <c r="D51" s="7">
        <v>26</v>
      </c>
      <c r="E51" s="17">
        <v>116</v>
      </c>
      <c r="F51" s="47"/>
      <c r="G51" s="34"/>
      <c r="H51" s="24"/>
      <c r="I51" s="30"/>
      <c r="J51" s="35"/>
      <c r="K51" s="34"/>
      <c r="L51" s="80"/>
      <c r="M51" s="80"/>
    </row>
    <row r="52" spans="1:13" hidden="1" x14ac:dyDescent="0.4">
      <c r="A52" s="86"/>
      <c r="B52" s="4">
        <v>6</v>
      </c>
      <c r="C52" s="3" t="s">
        <v>21</v>
      </c>
      <c r="D52" s="7">
        <v>11</v>
      </c>
      <c r="E52" s="17">
        <v>34</v>
      </c>
      <c r="F52" s="47"/>
      <c r="G52" s="34"/>
      <c r="H52" s="24"/>
      <c r="I52" s="30"/>
      <c r="J52" s="35"/>
      <c r="K52" s="34"/>
      <c r="L52" s="80"/>
      <c r="M52" s="80"/>
    </row>
    <row r="53" spans="1:13" hidden="1" x14ac:dyDescent="0.4">
      <c r="A53" s="86"/>
      <c r="B53" s="4">
        <v>7</v>
      </c>
      <c r="C53" s="3" t="s">
        <v>22</v>
      </c>
      <c r="D53" s="7">
        <v>25</v>
      </c>
      <c r="E53" s="17">
        <v>1364</v>
      </c>
      <c r="F53" s="47"/>
      <c r="G53" s="34"/>
      <c r="H53" s="24"/>
      <c r="I53" s="30"/>
      <c r="J53" s="35"/>
      <c r="K53" s="34"/>
      <c r="L53" s="80"/>
      <c r="M53" s="80"/>
    </row>
    <row r="54" spans="1:13" hidden="1" x14ac:dyDescent="0.4">
      <c r="A54" s="86"/>
      <c r="B54" s="4">
        <v>8</v>
      </c>
      <c r="C54" s="3" t="s">
        <v>23</v>
      </c>
      <c r="D54" s="7">
        <v>6</v>
      </c>
      <c r="E54" s="17">
        <v>34</v>
      </c>
      <c r="F54" s="47"/>
      <c r="G54" s="34"/>
      <c r="H54" s="24"/>
      <c r="I54" s="30"/>
      <c r="J54" s="35"/>
      <c r="K54" s="34"/>
      <c r="L54" s="80"/>
      <c r="M54" s="80"/>
    </row>
    <row r="55" spans="1:13" hidden="1" x14ac:dyDescent="0.4">
      <c r="A55" s="86"/>
      <c r="B55" s="4">
        <v>9</v>
      </c>
      <c r="C55" s="3" t="s">
        <v>24</v>
      </c>
      <c r="D55" s="7">
        <v>5</v>
      </c>
      <c r="E55" s="17">
        <v>34</v>
      </c>
      <c r="F55" s="47"/>
      <c r="G55" s="34"/>
      <c r="H55" s="24"/>
      <c r="I55" s="30"/>
      <c r="J55" s="35"/>
      <c r="K55" s="34"/>
      <c r="L55" s="80"/>
      <c r="M55" s="80"/>
    </row>
    <row r="56" spans="1:13" hidden="1" x14ac:dyDescent="0.4">
      <c r="A56" s="86"/>
      <c r="B56" s="4">
        <v>10</v>
      </c>
      <c r="C56" s="3" t="s">
        <v>25</v>
      </c>
      <c r="D56" s="7">
        <v>7</v>
      </c>
      <c r="E56" s="17">
        <v>18535</v>
      </c>
      <c r="F56" s="47"/>
      <c r="G56" s="34"/>
      <c r="H56" s="24"/>
      <c r="I56" s="30"/>
      <c r="J56" s="35"/>
      <c r="K56" s="34"/>
      <c r="L56" s="80"/>
      <c r="M56" s="80"/>
    </row>
    <row r="57" spans="1:13" hidden="1" x14ac:dyDescent="0.4">
      <c r="A57" s="86"/>
      <c r="B57" s="4">
        <v>11</v>
      </c>
      <c r="C57" s="3" t="s">
        <v>26</v>
      </c>
      <c r="D57" s="7">
        <v>22</v>
      </c>
      <c r="E57" s="17">
        <v>394</v>
      </c>
      <c r="F57" s="47"/>
      <c r="G57" s="34"/>
      <c r="H57" s="24"/>
      <c r="I57" s="30"/>
      <c r="J57" s="35"/>
      <c r="K57" s="34"/>
      <c r="L57" s="80"/>
      <c r="M57" s="80"/>
    </row>
    <row r="58" spans="1:13" hidden="1" x14ac:dyDescent="0.4">
      <c r="A58" s="86"/>
      <c r="B58" s="4">
        <v>12</v>
      </c>
      <c r="C58" s="3" t="s">
        <v>27</v>
      </c>
      <c r="D58" s="7">
        <v>5</v>
      </c>
      <c r="E58" s="17">
        <v>595</v>
      </c>
      <c r="F58" s="47"/>
      <c r="G58" s="34"/>
      <c r="H58" s="24"/>
      <c r="I58" s="30"/>
      <c r="J58" s="35"/>
      <c r="K58" s="34"/>
      <c r="L58" s="80"/>
      <c r="M58" s="80"/>
    </row>
    <row r="59" spans="1:13" hidden="1" x14ac:dyDescent="0.4">
      <c r="A59" s="86"/>
      <c r="B59" s="4">
        <v>13</v>
      </c>
      <c r="C59" s="3" t="s">
        <v>28</v>
      </c>
      <c r="D59" s="7">
        <v>7</v>
      </c>
      <c r="E59" s="17">
        <v>68</v>
      </c>
      <c r="F59" s="47"/>
      <c r="G59" s="34"/>
      <c r="H59" s="24"/>
      <c r="I59" s="30"/>
      <c r="J59" s="35"/>
      <c r="K59" s="34"/>
      <c r="L59" s="80"/>
      <c r="M59" s="80"/>
    </row>
    <row r="60" spans="1:13" hidden="1" x14ac:dyDescent="0.4">
      <c r="A60" s="86"/>
      <c r="B60" s="4">
        <v>14</v>
      </c>
      <c r="C60" s="3" t="s">
        <v>29</v>
      </c>
      <c r="D60" s="7">
        <v>90</v>
      </c>
      <c r="E60" s="17">
        <v>1324</v>
      </c>
      <c r="F60" s="47"/>
      <c r="G60" s="34"/>
      <c r="H60" s="24"/>
      <c r="I60" s="30"/>
      <c r="J60" s="35"/>
      <c r="K60" s="34"/>
      <c r="L60" s="80"/>
      <c r="M60" s="80"/>
    </row>
    <row r="61" spans="1:13" hidden="1" x14ac:dyDescent="0.4">
      <c r="A61" s="86"/>
      <c r="B61" s="4">
        <v>15</v>
      </c>
      <c r="C61" s="3" t="s">
        <v>30</v>
      </c>
      <c r="D61" s="7">
        <v>5</v>
      </c>
      <c r="E61" s="17">
        <v>323</v>
      </c>
      <c r="F61" s="47"/>
      <c r="G61" s="34"/>
      <c r="H61" s="24"/>
      <c r="I61" s="30"/>
      <c r="J61" s="35"/>
      <c r="K61" s="34"/>
      <c r="L61" s="80"/>
      <c r="M61" s="80"/>
    </row>
    <row r="62" spans="1:13" hidden="1" x14ac:dyDescent="0.4">
      <c r="A62" s="86"/>
      <c r="B62" s="4">
        <v>16</v>
      </c>
      <c r="C62" s="3" t="s">
        <v>31</v>
      </c>
      <c r="D62" s="7">
        <v>23</v>
      </c>
      <c r="E62" s="17">
        <v>452</v>
      </c>
      <c r="F62" s="47"/>
      <c r="G62" s="34"/>
      <c r="H62" s="24"/>
      <c r="I62" s="30"/>
      <c r="J62" s="35"/>
      <c r="K62" s="34"/>
      <c r="L62" s="80"/>
      <c r="M62" s="80"/>
    </row>
    <row r="63" spans="1:13" hidden="1" x14ac:dyDescent="0.4">
      <c r="A63" s="86"/>
      <c r="B63" s="4">
        <v>17</v>
      </c>
      <c r="C63" s="3" t="s">
        <v>33</v>
      </c>
      <c r="D63" s="7">
        <v>20</v>
      </c>
      <c r="E63" s="17">
        <v>87</v>
      </c>
      <c r="F63" s="47"/>
      <c r="G63" s="34"/>
      <c r="H63" s="24"/>
      <c r="I63" s="30"/>
      <c r="J63" s="35"/>
      <c r="K63" s="34"/>
      <c r="L63" s="80"/>
      <c r="M63" s="80"/>
    </row>
    <row r="64" spans="1:13" hidden="1" x14ac:dyDescent="0.4">
      <c r="A64" s="86"/>
      <c r="B64" s="4">
        <v>18</v>
      </c>
      <c r="C64" s="3" t="s">
        <v>17</v>
      </c>
      <c r="D64" s="7">
        <v>36</v>
      </c>
      <c r="E64" s="17">
        <v>592</v>
      </c>
      <c r="F64" s="47"/>
      <c r="G64" s="34"/>
      <c r="H64" s="24"/>
      <c r="I64" s="30"/>
      <c r="J64" s="35"/>
      <c r="K64" s="34"/>
      <c r="L64" s="80"/>
      <c r="M64" s="80"/>
    </row>
    <row r="65" spans="1:13" hidden="1" x14ac:dyDescent="0.4">
      <c r="A65" s="86"/>
      <c r="B65" s="4">
        <v>19</v>
      </c>
      <c r="C65" s="3" t="s">
        <v>18</v>
      </c>
      <c r="D65" s="7">
        <v>21</v>
      </c>
      <c r="E65" s="17">
        <v>0</v>
      </c>
      <c r="F65" s="47"/>
      <c r="G65" s="34"/>
      <c r="H65" s="24"/>
      <c r="I65" s="30"/>
      <c r="J65" s="35"/>
      <c r="K65" s="34"/>
      <c r="L65" s="80"/>
      <c r="M65" s="80"/>
    </row>
    <row r="66" spans="1:13" hidden="1" x14ac:dyDescent="0.4">
      <c r="A66" s="86"/>
      <c r="B66" s="4">
        <v>20</v>
      </c>
      <c r="C66" s="3" t="s">
        <v>19</v>
      </c>
      <c r="D66" s="7">
        <v>60</v>
      </c>
      <c r="E66" s="17">
        <v>43</v>
      </c>
      <c r="F66" s="47"/>
      <c r="G66" s="34"/>
      <c r="H66" s="24"/>
      <c r="I66" s="30"/>
      <c r="J66" s="35"/>
      <c r="K66" s="34"/>
      <c r="L66" s="80"/>
      <c r="M66" s="80"/>
    </row>
    <row r="67" spans="1:13" hidden="1" x14ac:dyDescent="0.4">
      <c r="A67" s="86"/>
      <c r="B67" s="4">
        <v>21</v>
      </c>
      <c r="C67" s="3" t="s">
        <v>20</v>
      </c>
      <c r="D67" s="7">
        <v>29</v>
      </c>
      <c r="E67" s="17">
        <v>0</v>
      </c>
      <c r="F67" s="47"/>
      <c r="G67" s="34"/>
      <c r="H67" s="24"/>
      <c r="I67" s="30"/>
      <c r="J67" s="35"/>
      <c r="K67" s="34"/>
      <c r="L67" s="80"/>
      <c r="M67" s="80"/>
    </row>
    <row r="68" spans="1:13" x14ac:dyDescent="0.4">
      <c r="A68" s="97" t="s">
        <v>129</v>
      </c>
      <c r="B68" s="10">
        <v>1</v>
      </c>
      <c r="C68" s="9" t="s">
        <v>45</v>
      </c>
      <c r="D68" s="12">
        <v>22</v>
      </c>
      <c r="E68" s="45">
        <v>0</v>
      </c>
      <c r="F68" s="50"/>
      <c r="G68" s="38"/>
      <c r="H68" s="39"/>
      <c r="I68" s="51"/>
      <c r="J68" s="35"/>
      <c r="K68" s="34"/>
      <c r="L68" s="83" t="s">
        <v>181</v>
      </c>
      <c r="M68" s="83"/>
    </row>
    <row r="69" spans="1:13" x14ac:dyDescent="0.4">
      <c r="A69" s="97"/>
      <c r="B69" s="10">
        <v>2</v>
      </c>
      <c r="C69" s="9" t="s">
        <v>35</v>
      </c>
      <c r="D69" s="12">
        <v>12</v>
      </c>
      <c r="E69" s="45">
        <v>111</v>
      </c>
      <c r="F69" s="49" t="s">
        <v>138</v>
      </c>
      <c r="G69" s="9" t="s">
        <v>56</v>
      </c>
      <c r="H69" s="12">
        <v>11</v>
      </c>
      <c r="I69" s="45">
        <v>111</v>
      </c>
      <c r="J69" s="27" t="b">
        <f t="shared" ref="J69:J129" si="2">D69=H69</f>
        <v>0</v>
      </c>
      <c r="K69" s="3" t="b">
        <f t="shared" ref="K69:K129" si="3">E69=I69</f>
        <v>1</v>
      </c>
      <c r="L69" s="80"/>
      <c r="M69" s="80"/>
    </row>
    <row r="70" spans="1:13" x14ac:dyDescent="0.4">
      <c r="A70" s="97"/>
      <c r="B70" s="10">
        <v>3</v>
      </c>
      <c r="C70" s="9" t="s">
        <v>36</v>
      </c>
      <c r="D70" s="12">
        <v>29</v>
      </c>
      <c r="E70" s="45">
        <v>347</v>
      </c>
      <c r="F70" s="49" t="s">
        <v>137</v>
      </c>
      <c r="G70" s="9" t="s">
        <v>57</v>
      </c>
      <c r="H70" s="12">
        <v>29</v>
      </c>
      <c r="I70" s="45">
        <v>347</v>
      </c>
      <c r="J70" s="27" t="b">
        <f t="shared" si="2"/>
        <v>1</v>
      </c>
      <c r="K70" s="3" t="b">
        <f t="shared" si="3"/>
        <v>1</v>
      </c>
      <c r="L70" s="80"/>
      <c r="M70" s="80"/>
    </row>
    <row r="71" spans="1:13" x14ac:dyDescent="0.4">
      <c r="A71" s="97"/>
      <c r="B71" s="10">
        <v>4</v>
      </c>
      <c r="C71" s="9" t="s">
        <v>38</v>
      </c>
      <c r="D71" s="12">
        <v>27</v>
      </c>
      <c r="E71" s="45">
        <v>3</v>
      </c>
      <c r="F71" s="49" t="s">
        <v>137</v>
      </c>
      <c r="G71" s="9" t="s">
        <v>73</v>
      </c>
      <c r="H71" s="12">
        <v>27</v>
      </c>
      <c r="I71" s="45">
        <v>3</v>
      </c>
      <c r="J71" s="27" t="b">
        <f t="shared" si="2"/>
        <v>1</v>
      </c>
      <c r="K71" s="3" t="b">
        <f t="shared" si="3"/>
        <v>1</v>
      </c>
      <c r="L71" s="80"/>
      <c r="M71" s="80"/>
    </row>
    <row r="72" spans="1:13" x14ac:dyDescent="0.4">
      <c r="A72" s="97"/>
      <c r="B72" s="10">
        <v>5</v>
      </c>
      <c r="C72" s="9" t="s">
        <v>39</v>
      </c>
      <c r="D72" s="12">
        <v>26</v>
      </c>
      <c r="E72" s="45">
        <v>77</v>
      </c>
      <c r="F72" s="49" t="s">
        <v>138</v>
      </c>
      <c r="G72" s="9" t="s">
        <v>16</v>
      </c>
      <c r="H72" s="12">
        <v>27</v>
      </c>
      <c r="I72" s="45">
        <v>77</v>
      </c>
      <c r="J72" s="27" t="b">
        <f t="shared" si="2"/>
        <v>0</v>
      </c>
      <c r="K72" s="3" t="b">
        <f t="shared" si="3"/>
        <v>1</v>
      </c>
      <c r="L72" s="80"/>
      <c r="M72" s="80"/>
    </row>
    <row r="73" spans="1:13" x14ac:dyDescent="0.4">
      <c r="A73" s="97"/>
      <c r="B73" s="10">
        <v>6</v>
      </c>
      <c r="C73" s="9" t="s">
        <v>86</v>
      </c>
      <c r="D73" s="12">
        <v>11</v>
      </c>
      <c r="E73" s="45">
        <v>3</v>
      </c>
      <c r="F73" s="49" t="s">
        <v>116</v>
      </c>
      <c r="G73" s="9" t="s">
        <v>21</v>
      </c>
      <c r="H73" s="12">
        <v>11</v>
      </c>
      <c r="I73" s="45">
        <v>3</v>
      </c>
      <c r="J73" s="27" t="b">
        <f t="shared" si="2"/>
        <v>1</v>
      </c>
      <c r="K73" s="3" t="b">
        <f t="shared" si="3"/>
        <v>1</v>
      </c>
      <c r="L73" s="80"/>
      <c r="M73" s="80"/>
    </row>
    <row r="74" spans="1:13" x14ac:dyDescent="0.4">
      <c r="A74" s="97"/>
      <c r="B74" s="10">
        <v>7</v>
      </c>
      <c r="C74" s="9" t="s">
        <v>89</v>
      </c>
      <c r="D74" s="12">
        <v>25</v>
      </c>
      <c r="E74" s="45">
        <v>77</v>
      </c>
      <c r="F74" s="49" t="s">
        <v>115</v>
      </c>
      <c r="G74" s="9" t="s">
        <v>22</v>
      </c>
      <c r="H74" s="12">
        <v>25</v>
      </c>
      <c r="I74" s="45">
        <v>77</v>
      </c>
      <c r="J74" s="27" t="b">
        <f t="shared" si="2"/>
        <v>1</v>
      </c>
      <c r="K74" s="3" t="b">
        <f t="shared" si="3"/>
        <v>1</v>
      </c>
      <c r="L74" s="80"/>
      <c r="M74" s="80"/>
    </row>
    <row r="75" spans="1:13" x14ac:dyDescent="0.4">
      <c r="A75" s="97"/>
      <c r="B75" s="10">
        <v>8</v>
      </c>
      <c r="C75" s="60" t="s">
        <v>90</v>
      </c>
      <c r="D75" s="67">
        <v>6</v>
      </c>
      <c r="E75" s="68">
        <v>0</v>
      </c>
      <c r="F75" s="69" t="s">
        <v>116</v>
      </c>
      <c r="G75" s="60" t="s">
        <v>90</v>
      </c>
      <c r="H75" s="67">
        <v>6</v>
      </c>
      <c r="I75" s="68">
        <v>3</v>
      </c>
      <c r="J75" s="77" t="b">
        <f t="shared" si="2"/>
        <v>1</v>
      </c>
      <c r="K75" s="55" t="b">
        <f t="shared" si="3"/>
        <v>0</v>
      </c>
      <c r="L75" s="81"/>
      <c r="M75" s="81" t="s">
        <v>197</v>
      </c>
    </row>
    <row r="76" spans="1:13" x14ac:dyDescent="0.4">
      <c r="A76" s="97"/>
      <c r="B76" s="10">
        <v>9</v>
      </c>
      <c r="C76" s="9" t="s">
        <v>91</v>
      </c>
      <c r="D76" s="12">
        <v>5</v>
      </c>
      <c r="E76" s="45">
        <v>3</v>
      </c>
      <c r="F76" s="49" t="s">
        <v>115</v>
      </c>
      <c r="G76" s="9" t="s">
        <v>24</v>
      </c>
      <c r="H76" s="12">
        <v>6</v>
      </c>
      <c r="I76" s="45">
        <v>3</v>
      </c>
      <c r="J76" s="27" t="b">
        <f t="shared" si="2"/>
        <v>0</v>
      </c>
      <c r="K76" s="3" t="b">
        <f t="shared" si="3"/>
        <v>1</v>
      </c>
      <c r="L76" s="80"/>
      <c r="M76" s="80"/>
    </row>
    <row r="77" spans="1:13" x14ac:dyDescent="0.4">
      <c r="A77" s="97"/>
      <c r="B77" s="10">
        <v>10</v>
      </c>
      <c r="C77" s="9" t="s">
        <v>92</v>
      </c>
      <c r="D77" s="12">
        <v>7</v>
      </c>
      <c r="E77" s="45">
        <v>1672</v>
      </c>
      <c r="F77" s="49" t="s">
        <v>115</v>
      </c>
      <c r="G77" s="9" t="s">
        <v>25</v>
      </c>
      <c r="H77" s="12">
        <v>7</v>
      </c>
      <c r="I77" s="45">
        <v>1672</v>
      </c>
      <c r="J77" s="27" t="b">
        <f t="shared" si="2"/>
        <v>1</v>
      </c>
      <c r="K77" s="3" t="b">
        <f t="shared" si="3"/>
        <v>1</v>
      </c>
      <c r="L77" s="80"/>
      <c r="M77" s="80"/>
    </row>
    <row r="78" spans="1:13" x14ac:dyDescent="0.4">
      <c r="A78" s="97"/>
      <c r="B78" s="10">
        <v>11</v>
      </c>
      <c r="C78" s="9" t="s">
        <v>94</v>
      </c>
      <c r="D78" s="12">
        <v>22</v>
      </c>
      <c r="E78" s="45">
        <v>36</v>
      </c>
      <c r="F78" s="49" t="s">
        <v>115</v>
      </c>
      <c r="G78" s="9" t="s">
        <v>26</v>
      </c>
      <c r="H78" s="12">
        <v>22</v>
      </c>
      <c r="I78" s="45">
        <v>36</v>
      </c>
      <c r="J78" s="27" t="b">
        <f t="shared" si="2"/>
        <v>1</v>
      </c>
      <c r="K78" s="3" t="b">
        <f t="shared" si="3"/>
        <v>1</v>
      </c>
      <c r="L78" s="80"/>
      <c r="M78" s="80"/>
    </row>
    <row r="79" spans="1:13" x14ac:dyDescent="0.4">
      <c r="A79" s="97"/>
      <c r="B79" s="10">
        <v>12</v>
      </c>
      <c r="C79" s="9" t="s">
        <v>95</v>
      </c>
      <c r="D79" s="12">
        <v>5</v>
      </c>
      <c r="E79" s="45">
        <v>53</v>
      </c>
      <c r="F79" s="49" t="s">
        <v>115</v>
      </c>
      <c r="G79" s="9" t="s">
        <v>27</v>
      </c>
      <c r="H79" s="12">
        <v>5</v>
      </c>
      <c r="I79" s="45">
        <v>53</v>
      </c>
      <c r="J79" s="27" t="b">
        <f t="shared" si="2"/>
        <v>1</v>
      </c>
      <c r="K79" s="3" t="b">
        <f t="shared" si="3"/>
        <v>1</v>
      </c>
      <c r="L79" s="80"/>
      <c r="M79" s="80"/>
    </row>
    <row r="80" spans="1:13" x14ac:dyDescent="0.4">
      <c r="A80" s="97"/>
      <c r="B80" s="10">
        <v>13</v>
      </c>
      <c r="C80" s="9" t="s">
        <v>96</v>
      </c>
      <c r="D80" s="12">
        <v>7</v>
      </c>
      <c r="E80" s="45">
        <v>6</v>
      </c>
      <c r="F80" s="49" t="s">
        <v>115</v>
      </c>
      <c r="G80" s="9" t="s">
        <v>28</v>
      </c>
      <c r="H80" s="12">
        <v>7</v>
      </c>
      <c r="I80" s="45">
        <v>6</v>
      </c>
      <c r="J80" s="27" t="b">
        <f t="shared" si="2"/>
        <v>1</v>
      </c>
      <c r="K80" s="3" t="b">
        <f t="shared" si="3"/>
        <v>1</v>
      </c>
      <c r="L80" s="80"/>
      <c r="M80" s="80"/>
    </row>
    <row r="81" spans="1:13" x14ac:dyDescent="0.4">
      <c r="A81" s="97"/>
      <c r="B81" s="10">
        <v>14</v>
      </c>
      <c r="C81" s="9" t="s">
        <v>77</v>
      </c>
      <c r="D81" s="12">
        <v>90</v>
      </c>
      <c r="E81" s="45">
        <v>77</v>
      </c>
      <c r="F81" s="49" t="s">
        <v>137</v>
      </c>
      <c r="G81" s="9" t="s">
        <v>29</v>
      </c>
      <c r="H81" s="12">
        <v>65</v>
      </c>
      <c r="I81" s="45">
        <v>77</v>
      </c>
      <c r="J81" s="27" t="b">
        <f t="shared" si="2"/>
        <v>0</v>
      </c>
      <c r="K81" s="3" t="b">
        <f t="shared" si="3"/>
        <v>1</v>
      </c>
      <c r="L81" s="80"/>
      <c r="M81" s="80"/>
    </row>
    <row r="82" spans="1:13" x14ac:dyDescent="0.4">
      <c r="A82" s="97"/>
      <c r="B82" s="10">
        <v>15</v>
      </c>
      <c r="C82" s="9" t="s">
        <v>79</v>
      </c>
      <c r="D82" s="12">
        <v>5</v>
      </c>
      <c r="E82" s="45">
        <v>21</v>
      </c>
      <c r="F82" s="49" t="s">
        <v>137</v>
      </c>
      <c r="G82" s="9" t="s">
        <v>30</v>
      </c>
      <c r="H82" s="12">
        <v>5</v>
      </c>
      <c r="I82" s="45">
        <v>21</v>
      </c>
      <c r="J82" s="27" t="b">
        <f t="shared" si="2"/>
        <v>1</v>
      </c>
      <c r="K82" s="3" t="b">
        <f t="shared" si="3"/>
        <v>1</v>
      </c>
      <c r="L82" s="80"/>
      <c r="M82" s="80"/>
    </row>
    <row r="83" spans="1:13" x14ac:dyDescent="0.4">
      <c r="A83" s="97"/>
      <c r="B83" s="10">
        <v>16</v>
      </c>
      <c r="C83" s="9" t="s">
        <v>81</v>
      </c>
      <c r="D83" s="12">
        <v>23</v>
      </c>
      <c r="E83" s="45">
        <v>36</v>
      </c>
      <c r="F83" s="49" t="s">
        <v>137</v>
      </c>
      <c r="G83" s="9" t="s">
        <v>31</v>
      </c>
      <c r="H83" s="12">
        <v>23</v>
      </c>
      <c r="I83" s="45">
        <v>36</v>
      </c>
      <c r="J83" s="27" t="b">
        <f t="shared" si="2"/>
        <v>1</v>
      </c>
      <c r="K83" s="3" t="b">
        <f t="shared" si="3"/>
        <v>1</v>
      </c>
      <c r="L83" s="80"/>
      <c r="M83" s="80"/>
    </row>
    <row r="84" spans="1:13" x14ac:dyDescent="0.4">
      <c r="A84" s="97"/>
      <c r="B84" s="10">
        <v>17</v>
      </c>
      <c r="C84" s="9" t="s">
        <v>32</v>
      </c>
      <c r="D84" s="12">
        <v>19</v>
      </c>
      <c r="E84" s="45">
        <v>1</v>
      </c>
      <c r="F84" s="50"/>
      <c r="G84" s="38"/>
      <c r="H84" s="39"/>
      <c r="I84" s="51"/>
      <c r="J84" s="35"/>
      <c r="K84" s="34"/>
      <c r="L84" s="83" t="s">
        <v>75</v>
      </c>
      <c r="M84" s="83"/>
    </row>
    <row r="85" spans="1:13" x14ac:dyDescent="0.4">
      <c r="A85" s="97"/>
      <c r="B85" s="10">
        <v>18</v>
      </c>
      <c r="C85" s="9" t="s">
        <v>40</v>
      </c>
      <c r="D85" s="12">
        <v>36</v>
      </c>
      <c r="E85" s="45">
        <v>42</v>
      </c>
      <c r="F85" s="49" t="s">
        <v>137</v>
      </c>
      <c r="G85" s="9" t="s">
        <v>17</v>
      </c>
      <c r="H85" s="12">
        <v>36</v>
      </c>
      <c r="I85" s="45">
        <v>42</v>
      </c>
      <c r="J85" s="27" t="b">
        <f t="shared" si="2"/>
        <v>1</v>
      </c>
      <c r="K85" s="3" t="b">
        <f t="shared" si="3"/>
        <v>1</v>
      </c>
      <c r="L85" s="80"/>
      <c r="M85" s="80"/>
    </row>
    <row r="86" spans="1:13" x14ac:dyDescent="0.4">
      <c r="A86" s="97"/>
      <c r="B86" s="10">
        <v>19</v>
      </c>
      <c r="C86" s="9" t="s">
        <v>41</v>
      </c>
      <c r="D86" s="12">
        <v>21</v>
      </c>
      <c r="E86" s="45">
        <v>0</v>
      </c>
      <c r="F86" s="50"/>
      <c r="G86" s="38"/>
      <c r="H86" s="39"/>
      <c r="I86" s="51"/>
      <c r="J86" s="35"/>
      <c r="K86" s="34"/>
      <c r="L86" s="83" t="s">
        <v>181</v>
      </c>
      <c r="M86" s="83"/>
    </row>
    <row r="87" spans="1:13" x14ac:dyDescent="0.4">
      <c r="A87" s="97"/>
      <c r="B87" s="10">
        <v>20</v>
      </c>
      <c r="C87" s="9" t="s">
        <v>42</v>
      </c>
      <c r="D87" s="12">
        <v>60</v>
      </c>
      <c r="E87" s="45">
        <v>3</v>
      </c>
      <c r="F87" s="49" t="s">
        <v>137</v>
      </c>
      <c r="G87" s="9" t="s">
        <v>19</v>
      </c>
      <c r="H87" s="12">
        <v>40</v>
      </c>
      <c r="I87" s="45">
        <v>3</v>
      </c>
      <c r="J87" s="27" t="b">
        <f t="shared" si="2"/>
        <v>0</v>
      </c>
      <c r="K87" s="3" t="b">
        <f t="shared" si="3"/>
        <v>1</v>
      </c>
      <c r="L87" s="80"/>
      <c r="M87" s="80"/>
    </row>
    <row r="88" spans="1:13" x14ac:dyDescent="0.4">
      <c r="A88" s="97"/>
      <c r="B88" s="10">
        <v>21</v>
      </c>
      <c r="C88" s="9" t="s">
        <v>20</v>
      </c>
      <c r="D88" s="12">
        <v>29</v>
      </c>
      <c r="E88" s="45">
        <v>0</v>
      </c>
      <c r="F88" s="50"/>
      <c r="G88" s="38"/>
      <c r="H88" s="39"/>
      <c r="I88" s="51"/>
      <c r="J88" s="35"/>
      <c r="K88" s="34"/>
      <c r="L88" s="83" t="s">
        <v>181</v>
      </c>
      <c r="M88" s="83"/>
    </row>
    <row r="89" spans="1:13" x14ac:dyDescent="0.4">
      <c r="A89" s="97" t="s">
        <v>130</v>
      </c>
      <c r="B89" s="10">
        <v>1</v>
      </c>
      <c r="C89" s="9" t="s">
        <v>45</v>
      </c>
      <c r="D89" s="12">
        <v>22</v>
      </c>
      <c r="E89" s="45">
        <v>207</v>
      </c>
      <c r="F89" s="49" t="s">
        <v>136</v>
      </c>
      <c r="G89" s="9" t="s">
        <v>139</v>
      </c>
      <c r="H89" s="12">
        <v>23</v>
      </c>
      <c r="I89" s="45">
        <v>207</v>
      </c>
      <c r="J89" s="27" t="b">
        <f t="shared" si="2"/>
        <v>0</v>
      </c>
      <c r="K89" s="3" t="b">
        <f t="shared" si="3"/>
        <v>1</v>
      </c>
      <c r="L89" s="80"/>
      <c r="M89" s="80"/>
    </row>
    <row r="90" spans="1:13" x14ac:dyDescent="0.4">
      <c r="A90" s="97"/>
      <c r="B90" s="10">
        <v>2</v>
      </c>
      <c r="C90" s="9" t="s">
        <v>35</v>
      </c>
      <c r="D90" s="12">
        <v>12</v>
      </c>
      <c r="E90" s="45">
        <v>1614</v>
      </c>
      <c r="F90" s="49" t="s">
        <v>141</v>
      </c>
      <c r="G90" s="9" t="s">
        <v>142</v>
      </c>
      <c r="H90" s="12">
        <v>11</v>
      </c>
      <c r="I90" s="45">
        <v>1614</v>
      </c>
      <c r="J90" s="27" t="b">
        <f t="shared" si="2"/>
        <v>0</v>
      </c>
      <c r="K90" s="3" t="b">
        <f t="shared" si="3"/>
        <v>1</v>
      </c>
      <c r="L90" s="80"/>
      <c r="M90" s="80"/>
    </row>
    <row r="91" spans="1:13" x14ac:dyDescent="0.4">
      <c r="A91" s="97"/>
      <c r="B91" s="10">
        <v>3</v>
      </c>
      <c r="C91" s="9" t="s">
        <v>36</v>
      </c>
      <c r="D91" s="12">
        <v>29</v>
      </c>
      <c r="E91" s="45">
        <v>3307</v>
      </c>
      <c r="F91" s="49" t="s">
        <v>141</v>
      </c>
      <c r="G91" s="9" t="s">
        <v>151</v>
      </c>
      <c r="H91" s="12">
        <v>29</v>
      </c>
      <c r="I91" s="45">
        <v>3307</v>
      </c>
      <c r="J91" s="27" t="b">
        <f t="shared" si="2"/>
        <v>1</v>
      </c>
      <c r="K91" s="3" t="b">
        <f t="shared" si="3"/>
        <v>1</v>
      </c>
      <c r="L91" s="80"/>
      <c r="M91" s="80"/>
    </row>
    <row r="92" spans="1:13" x14ac:dyDescent="0.4">
      <c r="A92" s="97"/>
      <c r="B92" s="10">
        <v>4</v>
      </c>
      <c r="C92" s="9" t="s">
        <v>38</v>
      </c>
      <c r="D92" s="12">
        <v>27</v>
      </c>
      <c r="E92" s="45">
        <v>32</v>
      </c>
      <c r="F92" s="49" t="s">
        <v>141</v>
      </c>
      <c r="G92" s="9" t="s">
        <v>143</v>
      </c>
      <c r="H92" s="12">
        <v>27</v>
      </c>
      <c r="I92" s="45">
        <v>32</v>
      </c>
      <c r="J92" s="27" t="b">
        <f t="shared" si="2"/>
        <v>1</v>
      </c>
      <c r="K92" s="3" t="b">
        <f t="shared" si="3"/>
        <v>1</v>
      </c>
      <c r="L92" s="80"/>
      <c r="M92" s="80"/>
    </row>
    <row r="93" spans="1:13" x14ac:dyDescent="0.4">
      <c r="A93" s="97"/>
      <c r="B93" s="10">
        <v>5</v>
      </c>
      <c r="C93" s="9" t="s">
        <v>39</v>
      </c>
      <c r="D93" s="12">
        <v>26</v>
      </c>
      <c r="E93" s="45">
        <v>1131</v>
      </c>
      <c r="F93" s="49" t="s">
        <v>141</v>
      </c>
      <c r="G93" s="9" t="s">
        <v>144</v>
      </c>
      <c r="H93" s="12">
        <v>27</v>
      </c>
      <c r="I93" s="45">
        <v>1131</v>
      </c>
      <c r="J93" s="27" t="b">
        <f t="shared" si="2"/>
        <v>0</v>
      </c>
      <c r="K93" s="3" t="b">
        <f t="shared" si="3"/>
        <v>1</v>
      </c>
      <c r="L93" s="80"/>
      <c r="M93" s="80"/>
    </row>
    <row r="94" spans="1:13" x14ac:dyDescent="0.4">
      <c r="A94" s="97"/>
      <c r="B94" s="10">
        <v>6</v>
      </c>
      <c r="C94" s="60" t="s">
        <v>86</v>
      </c>
      <c r="D94" s="67">
        <v>11</v>
      </c>
      <c r="E94" s="68">
        <v>2</v>
      </c>
      <c r="F94" s="58" t="s">
        <v>88</v>
      </c>
      <c r="G94" s="55" t="s">
        <v>86</v>
      </c>
      <c r="H94" s="56">
        <v>11</v>
      </c>
      <c r="I94" s="57">
        <v>32</v>
      </c>
      <c r="J94" s="77" t="b">
        <f t="shared" si="2"/>
        <v>1</v>
      </c>
      <c r="K94" s="55" t="b">
        <f t="shared" si="3"/>
        <v>0</v>
      </c>
      <c r="L94" s="81"/>
      <c r="M94" s="81" t="s">
        <v>198</v>
      </c>
    </row>
    <row r="95" spans="1:13" x14ac:dyDescent="0.4">
      <c r="A95" s="97"/>
      <c r="B95" s="10">
        <v>7</v>
      </c>
      <c r="C95" s="60" t="s">
        <v>89</v>
      </c>
      <c r="D95" s="67">
        <v>25</v>
      </c>
      <c r="E95" s="68">
        <v>46</v>
      </c>
      <c r="F95" s="58" t="s">
        <v>88</v>
      </c>
      <c r="G95" s="55" t="s">
        <v>89</v>
      </c>
      <c r="H95" s="56">
        <v>25</v>
      </c>
      <c r="I95" s="57">
        <v>1276</v>
      </c>
      <c r="J95" s="77" t="b">
        <f t="shared" si="2"/>
        <v>1</v>
      </c>
      <c r="K95" s="55" t="b">
        <f t="shared" si="3"/>
        <v>0</v>
      </c>
      <c r="L95" s="81"/>
      <c r="M95" s="81" t="s">
        <v>198</v>
      </c>
    </row>
    <row r="96" spans="1:13" x14ac:dyDescent="0.4">
      <c r="A96" s="97"/>
      <c r="B96" s="10">
        <v>8</v>
      </c>
      <c r="C96" s="60" t="s">
        <v>23</v>
      </c>
      <c r="D96" s="67">
        <v>6</v>
      </c>
      <c r="E96" s="68">
        <v>2</v>
      </c>
      <c r="F96" s="58" t="s">
        <v>88</v>
      </c>
      <c r="G96" s="55" t="s">
        <v>90</v>
      </c>
      <c r="H96" s="56">
        <v>6</v>
      </c>
      <c r="I96" s="57">
        <v>32</v>
      </c>
      <c r="J96" s="77" t="b">
        <f t="shared" si="2"/>
        <v>1</v>
      </c>
      <c r="K96" s="55" t="b">
        <f t="shared" si="3"/>
        <v>0</v>
      </c>
      <c r="L96" s="81"/>
      <c r="M96" s="81" t="s">
        <v>198</v>
      </c>
    </row>
    <row r="97" spans="1:13" x14ac:dyDescent="0.4">
      <c r="A97" s="97"/>
      <c r="B97" s="10">
        <v>9</v>
      </c>
      <c r="C97" s="60" t="s">
        <v>24</v>
      </c>
      <c r="D97" s="67">
        <v>5</v>
      </c>
      <c r="E97" s="68">
        <v>2</v>
      </c>
      <c r="F97" s="58" t="s">
        <v>88</v>
      </c>
      <c r="G97" s="55" t="s">
        <v>91</v>
      </c>
      <c r="H97" s="56">
        <v>6</v>
      </c>
      <c r="I97" s="57">
        <v>32</v>
      </c>
      <c r="J97" s="77" t="b">
        <f t="shared" si="2"/>
        <v>0</v>
      </c>
      <c r="K97" s="55" t="b">
        <f t="shared" si="3"/>
        <v>0</v>
      </c>
      <c r="L97" s="81"/>
      <c r="M97" s="81" t="s">
        <v>198</v>
      </c>
    </row>
    <row r="98" spans="1:13" x14ac:dyDescent="0.4">
      <c r="A98" s="97"/>
      <c r="B98" s="10">
        <v>10</v>
      </c>
      <c r="C98" s="60" t="s">
        <v>25</v>
      </c>
      <c r="D98" s="67">
        <v>7</v>
      </c>
      <c r="E98" s="68">
        <v>894</v>
      </c>
      <c r="F98" s="58" t="s">
        <v>88</v>
      </c>
      <c r="G98" s="55" t="s">
        <v>92</v>
      </c>
      <c r="H98" s="56">
        <v>7</v>
      </c>
      <c r="I98" s="57">
        <v>17066</v>
      </c>
      <c r="J98" s="77" t="b">
        <f t="shared" si="2"/>
        <v>1</v>
      </c>
      <c r="K98" s="55" t="b">
        <f t="shared" si="3"/>
        <v>0</v>
      </c>
      <c r="L98" s="81"/>
      <c r="M98" s="81" t="s">
        <v>198</v>
      </c>
    </row>
    <row r="99" spans="1:13" x14ac:dyDescent="0.4">
      <c r="A99" s="97"/>
      <c r="B99" s="10">
        <v>11</v>
      </c>
      <c r="C99" s="60" t="s">
        <v>26</v>
      </c>
      <c r="D99" s="67">
        <v>22</v>
      </c>
      <c r="E99" s="68">
        <v>14</v>
      </c>
      <c r="F99" s="58" t="s">
        <v>88</v>
      </c>
      <c r="G99" s="55" t="s">
        <v>94</v>
      </c>
      <c r="H99" s="56">
        <v>22</v>
      </c>
      <c r="I99" s="57">
        <v>355</v>
      </c>
      <c r="J99" s="77" t="b">
        <f t="shared" si="2"/>
        <v>1</v>
      </c>
      <c r="K99" s="55" t="b">
        <f t="shared" si="3"/>
        <v>0</v>
      </c>
      <c r="L99" s="81"/>
      <c r="M99" s="81" t="s">
        <v>198</v>
      </c>
    </row>
    <row r="100" spans="1:13" x14ac:dyDescent="0.4">
      <c r="A100" s="97"/>
      <c r="B100" s="10">
        <v>12</v>
      </c>
      <c r="C100" s="60" t="s">
        <v>27</v>
      </c>
      <c r="D100" s="67">
        <v>5</v>
      </c>
      <c r="E100" s="68">
        <v>35</v>
      </c>
      <c r="F100" s="58" t="s">
        <v>88</v>
      </c>
      <c r="G100" s="55" t="s">
        <v>95</v>
      </c>
      <c r="H100" s="56">
        <v>5</v>
      </c>
      <c r="I100" s="57">
        <v>560</v>
      </c>
      <c r="J100" s="77" t="b">
        <f t="shared" si="2"/>
        <v>1</v>
      </c>
      <c r="K100" s="55" t="b">
        <f t="shared" si="3"/>
        <v>0</v>
      </c>
      <c r="L100" s="81"/>
      <c r="M100" s="81" t="s">
        <v>198</v>
      </c>
    </row>
    <row r="101" spans="1:13" x14ac:dyDescent="0.4">
      <c r="A101" s="97"/>
      <c r="B101" s="10">
        <v>13</v>
      </c>
      <c r="C101" s="60" t="s">
        <v>28</v>
      </c>
      <c r="D101" s="67">
        <v>7</v>
      </c>
      <c r="E101" s="68">
        <v>4</v>
      </c>
      <c r="F101" s="58" t="s">
        <v>88</v>
      </c>
      <c r="G101" s="55" t="s">
        <v>96</v>
      </c>
      <c r="H101" s="56">
        <v>7</v>
      </c>
      <c r="I101" s="57">
        <v>64</v>
      </c>
      <c r="J101" s="77" t="b">
        <f t="shared" si="2"/>
        <v>1</v>
      </c>
      <c r="K101" s="55" t="b">
        <f t="shared" si="3"/>
        <v>0</v>
      </c>
      <c r="L101" s="81"/>
      <c r="M101" s="81" t="s">
        <v>198</v>
      </c>
    </row>
    <row r="102" spans="1:13" x14ac:dyDescent="0.4">
      <c r="A102" s="97"/>
      <c r="B102" s="10">
        <v>14</v>
      </c>
      <c r="C102" s="9" t="s">
        <v>77</v>
      </c>
      <c r="D102" s="12">
        <v>90</v>
      </c>
      <c r="E102" s="45">
        <v>1131</v>
      </c>
      <c r="F102" s="49" t="s">
        <v>140</v>
      </c>
      <c r="G102" s="9" t="s">
        <v>145</v>
      </c>
      <c r="H102" s="12">
        <v>90</v>
      </c>
      <c r="I102" s="45">
        <v>1131</v>
      </c>
      <c r="J102" s="27" t="b">
        <f t="shared" si="2"/>
        <v>1</v>
      </c>
      <c r="K102" s="3" t="b">
        <f t="shared" si="3"/>
        <v>1</v>
      </c>
      <c r="L102" s="80"/>
      <c r="M102" s="80"/>
    </row>
    <row r="103" spans="1:13" x14ac:dyDescent="0.4">
      <c r="A103" s="97"/>
      <c r="B103" s="10">
        <v>15</v>
      </c>
      <c r="C103" s="9" t="s">
        <v>79</v>
      </c>
      <c r="D103" s="12">
        <v>5</v>
      </c>
      <c r="E103" s="45">
        <v>260</v>
      </c>
      <c r="F103" s="49" t="s">
        <v>140</v>
      </c>
      <c r="G103" s="9" t="s">
        <v>146</v>
      </c>
      <c r="H103" s="12">
        <v>5</v>
      </c>
      <c r="I103" s="45">
        <v>260</v>
      </c>
      <c r="J103" s="27" t="b">
        <f t="shared" si="2"/>
        <v>1</v>
      </c>
      <c r="K103" s="3" t="b">
        <f t="shared" si="3"/>
        <v>1</v>
      </c>
      <c r="L103" s="80"/>
      <c r="M103" s="80"/>
    </row>
    <row r="104" spans="1:13" x14ac:dyDescent="0.4">
      <c r="A104" s="97"/>
      <c r="B104" s="10">
        <v>16</v>
      </c>
      <c r="C104" s="9" t="s">
        <v>81</v>
      </c>
      <c r="D104" s="12">
        <v>23</v>
      </c>
      <c r="E104" s="45">
        <v>355</v>
      </c>
      <c r="F104" s="49" t="s">
        <v>140</v>
      </c>
      <c r="G104" s="9" t="s">
        <v>147</v>
      </c>
      <c r="H104" s="12">
        <v>23</v>
      </c>
      <c r="I104" s="45">
        <v>355</v>
      </c>
      <c r="J104" s="27" t="b">
        <f t="shared" si="2"/>
        <v>1</v>
      </c>
      <c r="K104" s="3" t="b">
        <f t="shared" si="3"/>
        <v>1</v>
      </c>
      <c r="L104" s="80"/>
      <c r="M104" s="80"/>
    </row>
    <row r="105" spans="1:13" x14ac:dyDescent="0.4">
      <c r="A105" s="97"/>
      <c r="B105" s="10">
        <v>17</v>
      </c>
      <c r="C105" s="9" t="s">
        <v>40</v>
      </c>
      <c r="D105" s="12">
        <v>36</v>
      </c>
      <c r="E105" s="45">
        <v>419</v>
      </c>
      <c r="F105" s="49" t="s">
        <v>140</v>
      </c>
      <c r="G105" s="9" t="s">
        <v>148</v>
      </c>
      <c r="H105" s="12">
        <v>36</v>
      </c>
      <c r="I105" s="45">
        <v>419</v>
      </c>
      <c r="J105" s="27" t="b">
        <f t="shared" si="2"/>
        <v>1</v>
      </c>
      <c r="K105" s="3" t="b">
        <f t="shared" si="3"/>
        <v>1</v>
      </c>
      <c r="L105" s="80"/>
      <c r="M105" s="80"/>
    </row>
    <row r="106" spans="1:13" x14ac:dyDescent="0.4">
      <c r="A106" s="97"/>
      <c r="B106" s="10">
        <v>18</v>
      </c>
      <c r="C106" s="9" t="s">
        <v>41</v>
      </c>
      <c r="D106" s="12">
        <v>21</v>
      </c>
      <c r="E106" s="45">
        <v>161</v>
      </c>
      <c r="F106" s="49" t="s">
        <v>136</v>
      </c>
      <c r="G106" s="9" t="s">
        <v>149</v>
      </c>
      <c r="H106" s="12">
        <v>22</v>
      </c>
      <c r="I106" s="45">
        <v>161</v>
      </c>
      <c r="J106" s="27" t="b">
        <f t="shared" si="2"/>
        <v>0</v>
      </c>
      <c r="K106" s="3" t="b">
        <f t="shared" si="3"/>
        <v>1</v>
      </c>
      <c r="L106" s="80"/>
      <c r="M106" s="80"/>
    </row>
    <row r="107" spans="1:13" x14ac:dyDescent="0.4">
      <c r="A107" s="97"/>
      <c r="B107" s="10">
        <v>19</v>
      </c>
      <c r="C107" s="9" t="s">
        <v>42</v>
      </c>
      <c r="D107" s="12">
        <v>60</v>
      </c>
      <c r="E107" s="45">
        <v>32</v>
      </c>
      <c r="F107" s="49" t="s">
        <v>140</v>
      </c>
      <c r="G107" s="9" t="s">
        <v>183</v>
      </c>
      <c r="H107" s="12">
        <v>60</v>
      </c>
      <c r="I107" s="45">
        <v>32</v>
      </c>
      <c r="J107" s="27" t="b">
        <f t="shared" si="2"/>
        <v>1</v>
      </c>
      <c r="K107" s="3" t="b">
        <f t="shared" si="3"/>
        <v>1</v>
      </c>
      <c r="L107" s="80"/>
      <c r="M107" s="80"/>
    </row>
    <row r="108" spans="1:13" x14ac:dyDescent="0.4">
      <c r="A108" s="97"/>
      <c r="B108" s="10">
        <v>20</v>
      </c>
      <c r="C108" s="9" t="s">
        <v>43</v>
      </c>
      <c r="D108" s="12">
        <v>29</v>
      </c>
      <c r="E108" s="45">
        <v>10</v>
      </c>
      <c r="F108" s="49" t="s">
        <v>136</v>
      </c>
      <c r="G108" s="9" t="s">
        <v>150</v>
      </c>
      <c r="H108" s="12">
        <v>31</v>
      </c>
      <c r="I108" s="45">
        <v>10</v>
      </c>
      <c r="J108" s="27" t="b">
        <f t="shared" si="2"/>
        <v>0</v>
      </c>
      <c r="K108" s="3" t="b">
        <f t="shared" si="3"/>
        <v>1</v>
      </c>
      <c r="L108" s="80"/>
      <c r="M108" s="80"/>
    </row>
    <row r="109" spans="1:13" x14ac:dyDescent="0.4">
      <c r="A109" s="97" t="s">
        <v>131</v>
      </c>
      <c r="B109" s="10">
        <v>1</v>
      </c>
      <c r="C109" s="9" t="s">
        <v>45</v>
      </c>
      <c r="D109" s="12">
        <v>23</v>
      </c>
      <c r="E109" s="45">
        <v>2615</v>
      </c>
      <c r="F109" s="49" t="s">
        <v>153</v>
      </c>
      <c r="G109" s="9" t="s">
        <v>11</v>
      </c>
      <c r="H109" s="12">
        <v>24</v>
      </c>
      <c r="I109" s="45">
        <v>2615</v>
      </c>
      <c r="J109" s="27" t="b">
        <f t="shared" si="2"/>
        <v>0</v>
      </c>
      <c r="K109" s="3" t="b">
        <f t="shared" si="3"/>
        <v>1</v>
      </c>
      <c r="L109" s="80"/>
      <c r="M109" s="80"/>
    </row>
    <row r="110" spans="1:13" x14ac:dyDescent="0.4">
      <c r="A110" s="97"/>
      <c r="B110" s="10">
        <v>2</v>
      </c>
      <c r="C110" s="9" t="s">
        <v>35</v>
      </c>
      <c r="D110" s="12">
        <v>12</v>
      </c>
      <c r="E110" s="45">
        <v>19482</v>
      </c>
      <c r="F110" s="49" t="s">
        <v>152</v>
      </c>
      <c r="G110" s="9" t="s">
        <v>56</v>
      </c>
      <c r="H110" s="12">
        <v>11</v>
      </c>
      <c r="I110" s="45">
        <v>19482</v>
      </c>
      <c r="J110" s="27" t="b">
        <f t="shared" si="2"/>
        <v>0</v>
      </c>
      <c r="K110" s="3" t="b">
        <f t="shared" si="3"/>
        <v>1</v>
      </c>
      <c r="L110" s="80"/>
      <c r="M110" s="80"/>
    </row>
    <row r="111" spans="1:13" x14ac:dyDescent="0.4">
      <c r="A111" s="97"/>
      <c r="B111" s="10">
        <v>3</v>
      </c>
      <c r="C111" s="9" t="s">
        <v>36</v>
      </c>
      <c r="D111" s="12">
        <v>29</v>
      </c>
      <c r="E111" s="45">
        <v>57975</v>
      </c>
      <c r="F111" s="49" t="s">
        <v>152</v>
      </c>
      <c r="G111" s="9" t="s">
        <v>57</v>
      </c>
      <c r="H111" s="12">
        <v>29</v>
      </c>
      <c r="I111" s="45">
        <v>57975</v>
      </c>
      <c r="J111" s="27" t="b">
        <f t="shared" si="2"/>
        <v>1</v>
      </c>
      <c r="K111" s="3" t="b">
        <f t="shared" si="3"/>
        <v>1</v>
      </c>
      <c r="L111" s="80"/>
      <c r="M111" s="80"/>
    </row>
    <row r="112" spans="1:13" x14ac:dyDescent="0.4">
      <c r="A112" s="97"/>
      <c r="B112" s="10">
        <v>4</v>
      </c>
      <c r="C112" s="9" t="s">
        <v>38</v>
      </c>
      <c r="D112" s="12">
        <v>27</v>
      </c>
      <c r="E112" s="45">
        <v>551</v>
      </c>
      <c r="F112" s="49" t="s">
        <v>152</v>
      </c>
      <c r="G112" s="9" t="s">
        <v>73</v>
      </c>
      <c r="H112" s="12">
        <v>27</v>
      </c>
      <c r="I112" s="45">
        <v>551</v>
      </c>
      <c r="J112" s="27" t="b">
        <f t="shared" si="2"/>
        <v>1</v>
      </c>
      <c r="K112" s="3" t="b">
        <f t="shared" si="3"/>
        <v>1</v>
      </c>
      <c r="L112" s="80"/>
      <c r="M112" s="80"/>
    </row>
    <row r="113" spans="1:13" x14ac:dyDescent="0.4">
      <c r="A113" s="97"/>
      <c r="B113" s="10">
        <v>5</v>
      </c>
      <c r="C113" s="9" t="s">
        <v>39</v>
      </c>
      <c r="D113" s="12">
        <v>26</v>
      </c>
      <c r="E113" s="45">
        <v>14604</v>
      </c>
      <c r="F113" s="49" t="s">
        <v>152</v>
      </c>
      <c r="G113" s="9" t="s">
        <v>16</v>
      </c>
      <c r="H113" s="12">
        <v>27</v>
      </c>
      <c r="I113" s="45">
        <v>14604</v>
      </c>
      <c r="J113" s="27" t="b">
        <f t="shared" si="2"/>
        <v>0</v>
      </c>
      <c r="K113" s="3" t="b">
        <f t="shared" si="3"/>
        <v>1</v>
      </c>
      <c r="L113" s="80"/>
      <c r="M113" s="80"/>
    </row>
    <row r="114" spans="1:13" x14ac:dyDescent="0.4">
      <c r="A114" s="97"/>
      <c r="B114" s="10">
        <v>6</v>
      </c>
      <c r="C114" s="60" t="s">
        <v>86</v>
      </c>
      <c r="D114" s="67">
        <v>11</v>
      </c>
      <c r="E114" s="68">
        <v>310</v>
      </c>
      <c r="F114" s="58" t="s">
        <v>88</v>
      </c>
      <c r="G114" s="55" t="s">
        <v>86</v>
      </c>
      <c r="H114" s="56">
        <v>11</v>
      </c>
      <c r="I114" s="68">
        <v>314</v>
      </c>
      <c r="J114" s="77" t="b">
        <f t="shared" si="2"/>
        <v>1</v>
      </c>
      <c r="K114" s="55" t="b">
        <f t="shared" si="3"/>
        <v>0</v>
      </c>
      <c r="L114" s="81"/>
      <c r="M114" s="81" t="s">
        <v>187</v>
      </c>
    </row>
    <row r="115" spans="1:13" x14ac:dyDescent="0.4">
      <c r="A115" s="97"/>
      <c r="B115" s="10">
        <v>7</v>
      </c>
      <c r="C115" s="60" t="s">
        <v>22</v>
      </c>
      <c r="D115" s="67">
        <v>25</v>
      </c>
      <c r="E115" s="68">
        <v>8507</v>
      </c>
      <c r="F115" s="58" t="s">
        <v>88</v>
      </c>
      <c r="G115" s="55" t="s">
        <v>89</v>
      </c>
      <c r="H115" s="56">
        <v>25</v>
      </c>
      <c r="I115" s="68">
        <v>8545</v>
      </c>
      <c r="J115" s="77" t="b">
        <f t="shared" si="2"/>
        <v>1</v>
      </c>
      <c r="K115" s="55" t="b">
        <f t="shared" si="3"/>
        <v>0</v>
      </c>
      <c r="L115" s="81"/>
      <c r="M115" s="81" t="s">
        <v>186</v>
      </c>
    </row>
    <row r="116" spans="1:13" x14ac:dyDescent="0.4">
      <c r="A116" s="97"/>
      <c r="B116" s="10">
        <v>8</v>
      </c>
      <c r="C116" s="60" t="s">
        <v>23</v>
      </c>
      <c r="D116" s="67">
        <v>6</v>
      </c>
      <c r="E116" s="68">
        <v>296</v>
      </c>
      <c r="F116" s="58" t="s">
        <v>88</v>
      </c>
      <c r="G116" s="55" t="s">
        <v>90</v>
      </c>
      <c r="H116" s="56">
        <v>6</v>
      </c>
      <c r="I116" s="68">
        <v>262</v>
      </c>
      <c r="J116" s="77" t="b">
        <f t="shared" si="2"/>
        <v>1</v>
      </c>
      <c r="K116" s="55" t="b">
        <f t="shared" si="3"/>
        <v>0</v>
      </c>
      <c r="L116" s="81"/>
      <c r="M116" s="81" t="s">
        <v>186</v>
      </c>
    </row>
    <row r="117" spans="1:13" x14ac:dyDescent="0.4">
      <c r="A117" s="97"/>
      <c r="B117" s="10">
        <v>9</v>
      </c>
      <c r="C117" s="60" t="s">
        <v>24</v>
      </c>
      <c r="D117" s="67">
        <v>5</v>
      </c>
      <c r="E117" s="68">
        <v>294</v>
      </c>
      <c r="F117" s="58" t="s">
        <v>88</v>
      </c>
      <c r="G117" s="55" t="s">
        <v>91</v>
      </c>
      <c r="H117" s="56">
        <v>6</v>
      </c>
      <c r="I117" s="68">
        <v>304</v>
      </c>
      <c r="J117" s="77" t="b">
        <f t="shared" si="2"/>
        <v>0</v>
      </c>
      <c r="K117" s="55" t="b">
        <f t="shared" si="3"/>
        <v>0</v>
      </c>
      <c r="L117" s="81"/>
      <c r="M117" s="81" t="s">
        <v>186</v>
      </c>
    </row>
    <row r="118" spans="1:13" x14ac:dyDescent="0.4">
      <c r="A118" s="97"/>
      <c r="B118" s="10">
        <v>10</v>
      </c>
      <c r="C118" s="60" t="s">
        <v>25</v>
      </c>
      <c r="D118" s="67">
        <v>7</v>
      </c>
      <c r="E118" s="68">
        <v>164791</v>
      </c>
      <c r="F118" s="58" t="s">
        <v>88</v>
      </c>
      <c r="G118" s="55" t="s">
        <v>92</v>
      </c>
      <c r="H118" s="56">
        <v>7</v>
      </c>
      <c r="I118" s="68">
        <v>166839</v>
      </c>
      <c r="J118" s="77" t="b">
        <f t="shared" si="2"/>
        <v>1</v>
      </c>
      <c r="K118" s="55" t="b">
        <f t="shared" si="3"/>
        <v>0</v>
      </c>
      <c r="L118" s="81"/>
      <c r="M118" s="81" t="s">
        <v>186</v>
      </c>
    </row>
    <row r="119" spans="1:13" x14ac:dyDescent="0.4">
      <c r="A119" s="97"/>
      <c r="B119" s="10">
        <v>11</v>
      </c>
      <c r="C119" s="60" t="s">
        <v>26</v>
      </c>
      <c r="D119" s="67">
        <v>22</v>
      </c>
      <c r="E119" s="68">
        <v>3015</v>
      </c>
      <c r="F119" s="58" t="s">
        <v>88</v>
      </c>
      <c r="G119" s="55" t="s">
        <v>94</v>
      </c>
      <c r="H119" s="56">
        <v>22</v>
      </c>
      <c r="I119" s="68">
        <v>2990</v>
      </c>
      <c r="J119" s="77" t="b">
        <f t="shared" si="2"/>
        <v>1</v>
      </c>
      <c r="K119" s="55" t="b">
        <f t="shared" si="3"/>
        <v>0</v>
      </c>
      <c r="L119" s="81"/>
      <c r="M119" s="81" t="s">
        <v>186</v>
      </c>
    </row>
    <row r="120" spans="1:13" x14ac:dyDescent="0.4">
      <c r="A120" s="97"/>
      <c r="B120" s="10">
        <v>12</v>
      </c>
      <c r="C120" s="60" t="s">
        <v>27</v>
      </c>
      <c r="D120" s="67">
        <v>5</v>
      </c>
      <c r="E120" s="68">
        <v>5605</v>
      </c>
      <c r="F120" s="58" t="s">
        <v>88</v>
      </c>
      <c r="G120" s="55" t="s">
        <v>95</v>
      </c>
      <c r="H120" s="56">
        <v>5</v>
      </c>
      <c r="I120" s="68">
        <v>5550</v>
      </c>
      <c r="J120" s="77" t="b">
        <f t="shared" si="2"/>
        <v>1</v>
      </c>
      <c r="K120" s="55" t="b">
        <f t="shared" si="3"/>
        <v>0</v>
      </c>
      <c r="L120" s="81"/>
      <c r="M120" s="81" t="s">
        <v>186</v>
      </c>
    </row>
    <row r="121" spans="1:13" x14ac:dyDescent="0.4">
      <c r="A121" s="97"/>
      <c r="B121" s="10">
        <v>13</v>
      </c>
      <c r="C121" s="60" t="s">
        <v>28</v>
      </c>
      <c r="D121" s="67">
        <v>7</v>
      </c>
      <c r="E121" s="68">
        <v>622</v>
      </c>
      <c r="F121" s="58" t="s">
        <v>88</v>
      </c>
      <c r="G121" s="55" t="s">
        <v>96</v>
      </c>
      <c r="H121" s="56">
        <v>7</v>
      </c>
      <c r="I121" s="68">
        <v>630</v>
      </c>
      <c r="J121" s="77" t="b">
        <f t="shared" si="2"/>
        <v>1</v>
      </c>
      <c r="K121" s="55" t="b">
        <f t="shared" si="3"/>
        <v>0</v>
      </c>
      <c r="L121" s="81"/>
      <c r="M121" s="81" t="s">
        <v>186</v>
      </c>
    </row>
    <row r="122" spans="1:13" x14ac:dyDescent="0.4">
      <c r="A122" s="97"/>
      <c r="B122" s="10">
        <v>14</v>
      </c>
      <c r="C122" s="9" t="s">
        <v>77</v>
      </c>
      <c r="D122" s="12">
        <v>90</v>
      </c>
      <c r="E122" s="45">
        <v>6573</v>
      </c>
      <c r="F122" s="49" t="s">
        <v>152</v>
      </c>
      <c r="G122" s="9" t="s">
        <v>29</v>
      </c>
      <c r="H122" s="12">
        <v>65</v>
      </c>
      <c r="I122" s="45">
        <v>6573</v>
      </c>
      <c r="J122" s="27" t="b">
        <f t="shared" si="2"/>
        <v>0</v>
      </c>
      <c r="K122" s="3" t="b">
        <f t="shared" si="3"/>
        <v>1</v>
      </c>
      <c r="L122" s="80"/>
      <c r="M122" s="80"/>
    </row>
    <row r="123" spans="1:13" x14ac:dyDescent="0.4">
      <c r="A123" s="97"/>
      <c r="B123" s="10">
        <v>15</v>
      </c>
      <c r="C123" s="9" t="s">
        <v>79</v>
      </c>
      <c r="D123" s="12">
        <v>5</v>
      </c>
      <c r="E123" s="45">
        <v>1957</v>
      </c>
      <c r="F123" s="49" t="s">
        <v>152</v>
      </c>
      <c r="G123" s="9" t="s">
        <v>30</v>
      </c>
      <c r="H123" s="12">
        <v>5</v>
      </c>
      <c r="I123" s="45">
        <v>1957</v>
      </c>
      <c r="J123" s="27" t="b">
        <f t="shared" si="2"/>
        <v>1</v>
      </c>
      <c r="K123" s="3" t="b">
        <f t="shared" si="3"/>
        <v>1</v>
      </c>
      <c r="L123" s="80"/>
      <c r="M123" s="80"/>
    </row>
    <row r="124" spans="1:13" x14ac:dyDescent="0.4">
      <c r="A124" s="97"/>
      <c r="B124" s="10">
        <v>16</v>
      </c>
      <c r="C124" s="9" t="s">
        <v>81</v>
      </c>
      <c r="D124" s="12">
        <v>23</v>
      </c>
      <c r="E124" s="45">
        <v>2463</v>
      </c>
      <c r="F124" s="49" t="s">
        <v>152</v>
      </c>
      <c r="G124" s="9" t="s">
        <v>31</v>
      </c>
      <c r="H124" s="12">
        <v>23</v>
      </c>
      <c r="I124" s="45">
        <v>2463</v>
      </c>
      <c r="J124" s="27" t="b">
        <f t="shared" si="2"/>
        <v>1</v>
      </c>
      <c r="K124" s="3" t="b">
        <f t="shared" si="3"/>
        <v>1</v>
      </c>
      <c r="L124" s="80"/>
      <c r="M124" s="80"/>
    </row>
    <row r="125" spans="1:13" x14ac:dyDescent="0.4">
      <c r="A125" s="97"/>
      <c r="B125" s="10">
        <v>17</v>
      </c>
      <c r="C125" s="9" t="s">
        <v>32</v>
      </c>
      <c r="D125" s="12">
        <v>19</v>
      </c>
      <c r="E125" s="45">
        <v>2</v>
      </c>
      <c r="F125" s="50"/>
      <c r="G125" s="38"/>
      <c r="H125" s="39"/>
      <c r="I125" s="51"/>
      <c r="J125" s="35"/>
      <c r="K125" s="34"/>
      <c r="L125" s="83" t="s">
        <v>75</v>
      </c>
      <c r="M125" s="83"/>
    </row>
    <row r="126" spans="1:13" x14ac:dyDescent="0.4">
      <c r="A126" s="97"/>
      <c r="B126" s="10">
        <v>18</v>
      </c>
      <c r="C126" s="9" t="s">
        <v>40</v>
      </c>
      <c r="D126" s="12">
        <v>36</v>
      </c>
      <c r="E126" s="45">
        <v>5706</v>
      </c>
      <c r="F126" s="49" t="s">
        <v>152</v>
      </c>
      <c r="G126" s="9" t="s">
        <v>17</v>
      </c>
      <c r="H126" s="12">
        <v>36</v>
      </c>
      <c r="I126" s="45">
        <v>5706</v>
      </c>
      <c r="J126" s="27" t="b">
        <f t="shared" si="2"/>
        <v>1</v>
      </c>
      <c r="K126" s="3" t="b">
        <f t="shared" si="3"/>
        <v>1</v>
      </c>
      <c r="L126" s="80"/>
      <c r="M126" s="80"/>
    </row>
    <row r="127" spans="1:13" x14ac:dyDescent="0.4">
      <c r="A127" s="97"/>
      <c r="B127" s="10">
        <v>19</v>
      </c>
      <c r="C127" s="9" t="s">
        <v>41</v>
      </c>
      <c r="D127" s="12">
        <v>22</v>
      </c>
      <c r="E127" s="45">
        <v>1892</v>
      </c>
      <c r="F127" s="49" t="s">
        <v>152</v>
      </c>
      <c r="G127" s="9" t="s">
        <v>18</v>
      </c>
      <c r="H127" s="12">
        <v>23</v>
      </c>
      <c r="I127" s="45">
        <v>1892</v>
      </c>
      <c r="J127" s="27" t="b">
        <f t="shared" si="2"/>
        <v>0</v>
      </c>
      <c r="K127" s="3" t="b">
        <f t="shared" si="3"/>
        <v>1</v>
      </c>
      <c r="L127" s="80"/>
      <c r="M127" s="80"/>
    </row>
    <row r="128" spans="1:13" x14ac:dyDescent="0.4">
      <c r="A128" s="97"/>
      <c r="B128" s="10">
        <v>20</v>
      </c>
      <c r="C128" s="9" t="s">
        <v>42</v>
      </c>
      <c r="D128" s="12">
        <v>60</v>
      </c>
      <c r="E128" s="45">
        <v>551</v>
      </c>
      <c r="F128" s="49" t="s">
        <v>152</v>
      </c>
      <c r="G128" s="9" t="s">
        <v>19</v>
      </c>
      <c r="H128" s="12">
        <v>40</v>
      </c>
      <c r="I128" s="45">
        <v>551</v>
      </c>
      <c r="J128" s="27" t="b">
        <f t="shared" si="2"/>
        <v>0</v>
      </c>
      <c r="K128" s="3" t="b">
        <f t="shared" si="3"/>
        <v>1</v>
      </c>
      <c r="L128" s="80"/>
      <c r="M128" s="80"/>
    </row>
    <row r="129" spans="1:13" ht="16.2" thickBot="1" x14ac:dyDescent="0.45">
      <c r="A129" s="98"/>
      <c r="B129" s="40">
        <v>21</v>
      </c>
      <c r="C129" s="41" t="s">
        <v>43</v>
      </c>
      <c r="D129" s="42">
        <v>30</v>
      </c>
      <c r="E129" s="46">
        <v>165</v>
      </c>
      <c r="F129" s="52" t="s">
        <v>152</v>
      </c>
      <c r="G129" s="41" t="s">
        <v>20</v>
      </c>
      <c r="H129" s="42">
        <v>31</v>
      </c>
      <c r="I129" s="46">
        <v>165</v>
      </c>
      <c r="J129" s="33" t="b">
        <f t="shared" si="2"/>
        <v>0</v>
      </c>
      <c r="K129" s="19" t="b">
        <f t="shared" si="3"/>
        <v>1</v>
      </c>
      <c r="L129" s="82"/>
      <c r="M129" s="82"/>
    </row>
  </sheetData>
  <mergeCells count="9">
    <mergeCell ref="A1:E1"/>
    <mergeCell ref="F1:I1"/>
    <mergeCell ref="J1:L1"/>
    <mergeCell ref="A109:A129"/>
    <mergeCell ref="A3:A22"/>
    <mergeCell ref="A23:A46"/>
    <mergeCell ref="A47:A67"/>
    <mergeCell ref="A68:A88"/>
    <mergeCell ref="A89:A108"/>
  </mergeCells>
  <phoneticPr fontId="1" type="noConversion"/>
  <conditionalFormatting sqref="J1:K1048576">
    <cfRule type="expression" dxfId="1" priority="1">
      <formula>J1=TRUE</formula>
    </cfRule>
  </conditionalFormatting>
  <conditionalFormatting sqref="J2:M2">
    <cfRule type="expression" dxfId="0" priority="2">
      <formula>J2=TRUE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4C228D2F9C304386662EA19256DF66" ma:contentTypeVersion="12" ma:contentTypeDescription="새 문서를 만듭니다." ma:contentTypeScope="" ma:versionID="600cbd84a403bc305407d38620a2b215">
  <xsd:schema xmlns:xsd="http://www.w3.org/2001/XMLSchema" xmlns:xs="http://www.w3.org/2001/XMLSchema" xmlns:p="http://schemas.microsoft.com/office/2006/metadata/properties" xmlns:ns2="7da373ee-24c8-46fb-a7c6-72d38b25e975" xmlns:ns3="7e7a764f-cd25-4c16-8a14-8ff8c5e84fe5" targetNamespace="http://schemas.microsoft.com/office/2006/metadata/properties" ma:root="true" ma:fieldsID="7ef4be158900b51a5f2820045577b053" ns2:_="" ns3:_="">
    <xsd:import namespace="7da373ee-24c8-46fb-a7c6-72d38b25e975"/>
    <xsd:import namespace="7e7a764f-cd25-4c16-8a14-8ff8c5e84f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373ee-24c8-46fb-a7c6-72d38b25e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026b7b09-da39-4c66-b2aa-45a953b57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a764f-cd25-4c16-8a14-8ff8c5e84f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84babc3-17c9-42c8-8511-0579cb79fa7c}" ma:internalName="TaxCatchAll" ma:showField="CatchAllData" ma:web="7e7a764f-cd25-4c16-8a14-8ff8c5e84f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373ee-24c8-46fb-a7c6-72d38b25e975">
      <Terms xmlns="http://schemas.microsoft.com/office/infopath/2007/PartnerControls"/>
    </lcf76f155ced4ddcb4097134ff3c332f>
    <TaxCatchAll xmlns="7e7a764f-cd25-4c16-8a14-8ff8c5e84fe5" xsi:nil="true"/>
  </documentManagement>
</p:properties>
</file>

<file path=customXml/itemProps1.xml><?xml version="1.0" encoding="utf-8"?>
<ds:datastoreItem xmlns:ds="http://schemas.openxmlformats.org/officeDocument/2006/customXml" ds:itemID="{B561718F-4A6A-4A45-8C3B-11E35BA16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373ee-24c8-46fb-a7c6-72d38b25e975"/>
    <ds:schemaRef ds:uri="7e7a764f-cd25-4c16-8a14-8ff8c5e84f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9CF067-849C-4F8B-9279-95007FD5CE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BE3D7-B532-4446-9071-02CDC25B6CC8}">
  <ds:schemaRefs>
    <ds:schemaRef ds:uri="http://schemas.microsoft.com/office/2006/metadata/properties"/>
    <ds:schemaRef ds:uri="http://schemas.microsoft.com/office/infopath/2007/PartnerControls"/>
    <ds:schemaRef ds:uri="7da373ee-24c8-46fb-a7c6-72d38b25e975"/>
    <ds:schemaRef ds:uri="7e7a764f-cd25-4c16-8a14-8ff8c5e84f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DB1_</vt:lpstr>
      <vt:lpstr>DB2_</vt:lpstr>
      <vt:lpstr>전송 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홍동현</dc:creator>
  <cp:lastModifiedBy>홍승규</cp:lastModifiedBy>
  <dcterms:created xsi:type="dcterms:W3CDTF">2026-02-04T02:41:31Z</dcterms:created>
  <dcterms:modified xsi:type="dcterms:W3CDTF">2026-02-20T07:05:57Z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0x010100B44C228D2F9C304386662EA19256DF66</vt:lpwstr>
  </property>
  <property fmtid="{D5CDD505-2E9C-101B-9397-08002B2CF9AE}" pid="3" name="MediaServiceImageTags">
    <vt:lpwstr/>
  </property>
</Properties>
</file>